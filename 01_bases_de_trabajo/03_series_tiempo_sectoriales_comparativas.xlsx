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hidePivotFieldList="1" defaultThemeVersion="166925"/>
  <xr:revisionPtr revIDLastSave="0" documentId="13_ncr:1_{13783374-1350-4D46-822E-72D50477BBA7}" xr6:coauthVersionLast="47" xr6:coauthVersionMax="47" xr10:uidLastSave="{00000000-0000-0000-0000-000000000000}"/>
  <bookViews>
    <workbookView xWindow="-108" yWindow="-108" windowWidth="23256" windowHeight="12456" firstSheet="3" activeTab="13" xr2:uid="{A22C7B05-6B0A-4116-A99A-60EDDEA67682}"/>
  </bookViews>
  <sheets>
    <sheet name="graficas_excel" sheetId="9" r:id="rId1"/>
    <sheet name="base_nl" sheetId="10" r:id="rId2"/>
    <sheet name="base_comp" sheetId="11" r:id="rId3"/>
    <sheet name="pib_niveles_t" sheetId="1" r:id="rId4"/>
    <sheet name="pib_niveles" sheetId="7" r:id="rId5"/>
    <sheet name="td1" sheetId="5" r:id="rId6"/>
    <sheet name="pib_pct" sheetId="8" r:id="rId7"/>
    <sheet name="INGEI_raw_detallada" sheetId="3" r:id="rId8"/>
    <sheet name="td2" sheetId="17" r:id="rId9"/>
    <sheet name="terc_det" sheetId="18" r:id="rId10"/>
    <sheet name="td3" sheetId="20" r:id="rId11"/>
    <sheet name="sec_det" sheetId="21" r:id="rId12"/>
    <sheet name="pib_actividades" sheetId="13" r:id="rId13"/>
    <sheet name="pib_total" sheetId="14" r:id="rId14"/>
  </sheets>
  <definedNames>
    <definedName name="DatosExternos_1" localSheetId="12" hidden="1">pib_actividades!$A$1:$G$441</definedName>
    <definedName name="DatosExternos_1" localSheetId="5" hidden="1">'td1'!$A$1:$C$181</definedName>
    <definedName name="DatosExternos_2" localSheetId="13" hidden="1">pib_total!$A$1:$B$23</definedName>
    <definedName name="PIB_RAW">Tabla3[#All]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C27" i="9"/>
  <c r="C26" i="9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2" i="8"/>
  <c r="D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01FBF-2487-481F-85FA-485D66F61E77}" keepAlive="1" name="Consulta - PIB_ACTIVIDADES" description="Conexión a la consulta 'PIB_ACTIVIDADES' en el libro." type="5" refreshedVersion="8" background="1" saveData="1">
    <dbPr connection="Provider=Microsoft.Mashup.OleDb.1;Data Source=$Workbook$;Location=PIB_ACTIVIDADES;Extended Properties=&quot;&quot;" command="SELECT * FROM [PIB_ACTIVIDADES]"/>
  </connection>
  <connection id="2" xr16:uid="{211E420C-25F3-44B7-99AC-6B568EF50102}" keepAlive="1" name="Consulta - PIB_TOTAL" description="Conexión a la consulta 'PIB_TOTAL' en el libro." type="5" refreshedVersion="8" background="1" saveData="1">
    <dbPr connection="Provider=Microsoft.Mashup.OleDb.1;Data Source=$Workbook$;Location=PIB_TOTAL;Extended Properties=&quot;&quot;" command="SELECT * FROM [PIB_TOTAL]"/>
  </connection>
  <connection id="3" xr16:uid="{A6EA6241-4D5B-4ADB-A819-E512D28E44EF}" keepAlive="1" name="Query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<sst xmlns="http://schemas.openxmlformats.org/spreadsheetml/2006/main" count="2683" uniqueCount="153">
  <si>
    <t>Fuente: elaboración propia con datos del INEGI.</t>
  </si>
  <si>
    <t>act</t>
  </si>
  <si>
    <t>Tasa Media de Crecimiento Anual</t>
  </si>
  <si>
    <t>act. secundarias</t>
  </si>
  <si>
    <t>act. terciarias</t>
  </si>
  <si>
    <t>año</t>
  </si>
  <si>
    <t>terc</t>
  </si>
  <si>
    <t>per_capita</t>
  </si>
  <si>
    <t>poblacion_urb</t>
  </si>
  <si>
    <t>ied</t>
  </si>
  <si>
    <t>escolaridad</t>
  </si>
  <si>
    <t>exportaciones</t>
  </si>
  <si>
    <t>estado</t>
  </si>
  <si>
    <t>actividades primarias</t>
  </si>
  <si>
    <t>actividades secundarias</t>
  </si>
  <si>
    <t>actividades terciarias</t>
  </si>
  <si>
    <t>Nuevo León</t>
  </si>
  <si>
    <t>Nacional</t>
  </si>
  <si>
    <t>Ciudad de México</t>
  </si>
  <si>
    <t>Columna1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</si>
  <si>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</si>
  <si>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</si>
  <si>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</si>
  <si>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</si>
  <si>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</si>
  <si>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</si>
  <si>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</si>
  <si>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</si>
  <si>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</si>
  <si>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</si>
  <si>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</si>
  <si>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</si>
  <si>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</si>
  <si>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</si>
  <si>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</si>
  <si>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</si>
  <si>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</si>
  <si>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</si>
  <si>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</si>
  <si>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</si>
  <si>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</si>
  <si>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</si>
  <si>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</si>
  <si>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</si>
  <si>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</si>
  <si>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</si>
  <si>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</si>
  <si>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</si>
  <si>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</si>
  <si>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</si>
  <si>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</si>
  <si>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</si>
  <si>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</si>
  <si>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</si>
  <si>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</si>
  <si>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</si>
  <si>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</si>
  <si>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</si>
  <si>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</si>
  <si>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</si>
  <si>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</si>
  <si>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</si>
  <si>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</si>
  <si>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</si>
  <si>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</si>
  <si>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PIB</t>
  </si>
  <si>
    <t>Actividades primarias</t>
  </si>
  <si>
    <t>Actividades secundarias</t>
  </si>
  <si>
    <t>Actividades terciarias</t>
  </si>
  <si>
    <t>pib total</t>
  </si>
  <si>
    <t>sector</t>
  </si>
  <si>
    <t>pib</t>
  </si>
  <si>
    <t>re</t>
  </si>
  <si>
    <t>Concepto</t>
  </si>
  <si>
    <t>11 - Agricultura, cría y explotación de animales, aprovechamiento forestal, pesca y caza</t>
  </si>
  <si>
    <t>21 - Minería</t>
  </si>
  <si>
    <t>22 - Generación, transmisión, distribución y comercialización de energía eléctrica, suministro de agua y de gas natural por ductos al consumidor final</t>
  </si>
  <si>
    <t>23 - Construcción</t>
  </si>
  <si>
    <t>31-33 - Industrias manufactureras</t>
  </si>
  <si>
    <t>43 - Comercio al por mayor</t>
  </si>
  <si>
    <t>46 - Comercio al por menor</t>
  </si>
  <si>
    <t>48-49 - Transportes, correos y almacenamiento</t>
  </si>
  <si>
    <t>51 - Información en medios masivos</t>
  </si>
  <si>
    <t>52 - Servicios financieros y de seguros</t>
  </si>
  <si>
    <t>53 - Servicios inmobiliarios y de alquiler de bienes muebles e intangibles</t>
  </si>
  <si>
    <t>54 - Servicios profesionales, científicos y técnicos</t>
  </si>
  <si>
    <t>55 - Corporativos</t>
  </si>
  <si>
    <t>56 - Servicios de apoyo a los negocios y manejo de residuos, y servicios de remediación</t>
  </si>
  <si>
    <t>61 - Servicios educativos</t>
  </si>
  <si>
    <t>62 - Servicios de salud y de asistencia social</t>
  </si>
  <si>
    <t>71 - Servicios de esparcimiento culturales y deportivos, y otros servicios recreativos</t>
  </si>
  <si>
    <t>72 - Servicios de alojamiento temporal y de preparación de alimentos y bebidas</t>
  </si>
  <si>
    <t>81 - Otros servicios excepto actividades gubernamentales</t>
  </si>
  <si>
    <t>93 - Actividades legislativas, gubernamentales, de impartición de justicia y de organismos internacionales y extraterritoriales</t>
  </si>
  <si>
    <t>Actividad</t>
  </si>
  <si>
    <t>Actividades Terciarias</t>
  </si>
  <si>
    <t>Suma de Participacion</t>
  </si>
  <si>
    <t>Etiquetas de columna</t>
  </si>
  <si>
    <t>Etiquetas de fila</t>
  </si>
  <si>
    <t>Comercio</t>
  </si>
  <si>
    <t>Logística y transporte</t>
  </si>
  <si>
    <t>Servicios empresariales</t>
  </si>
  <si>
    <t>Servicios inmobiliarios</t>
  </si>
  <si>
    <t>Servicios sociales y gobierno</t>
  </si>
  <si>
    <t>Turismo y servicio personales</t>
  </si>
  <si>
    <t>Año</t>
  </si>
  <si>
    <t>Actividades Secundarias</t>
  </si>
  <si>
    <t xml:space="preserve"> Construcción</t>
  </si>
  <si>
    <t xml:space="preserve"> Generación, transmisión, distribución y comercialización de energía eléctrica, suministro de agua y de gas natural por ductos al consumidor final</t>
  </si>
  <si>
    <t xml:space="preserve"> Industrias manufactureras</t>
  </si>
  <si>
    <t xml:space="preserve"> Minería</t>
  </si>
  <si>
    <t>Código</t>
  </si>
  <si>
    <t>Sector</t>
  </si>
  <si>
    <t>Grupo terciario</t>
  </si>
  <si>
    <t>PIB TOTAL</t>
  </si>
  <si>
    <t>Participacion</t>
  </si>
  <si>
    <t xml:space="preserve">11 </t>
  </si>
  <si>
    <t xml:space="preserve"> Agricultura, cría y explotación de animales, aprovechamiento forestal, pesca y caza</t>
  </si>
  <si>
    <t>Actividades Primarias</t>
  </si>
  <si>
    <t xml:space="preserve">21 </t>
  </si>
  <si>
    <t xml:space="preserve">22 </t>
  </si>
  <si>
    <t xml:space="preserve">23 </t>
  </si>
  <si>
    <t xml:space="preserve">31-33 </t>
  </si>
  <si>
    <t xml:space="preserve">43 </t>
  </si>
  <si>
    <t xml:space="preserve"> Comercio al por mayor</t>
  </si>
  <si>
    <t xml:space="preserve">46 </t>
  </si>
  <si>
    <t xml:space="preserve"> Comercio al por menor</t>
  </si>
  <si>
    <t xml:space="preserve">48-49 </t>
  </si>
  <si>
    <t xml:space="preserve"> Transportes, correos y almacenamiento</t>
  </si>
  <si>
    <t xml:space="preserve">51 </t>
  </si>
  <si>
    <t xml:space="preserve"> Información en medios masivos</t>
  </si>
  <si>
    <t xml:space="preserve">52 </t>
  </si>
  <si>
    <t xml:space="preserve"> Servicios financieros y de seguros</t>
  </si>
  <si>
    <t xml:space="preserve">53 </t>
  </si>
  <si>
    <t xml:space="preserve"> Servicios inmobiliarios y de alquiler de bienes muebles e intangibles</t>
  </si>
  <si>
    <t xml:space="preserve">54 </t>
  </si>
  <si>
    <t xml:space="preserve"> Servicios profesionales, científicos y técnicos</t>
  </si>
  <si>
    <t xml:space="preserve">55 </t>
  </si>
  <si>
    <t xml:space="preserve"> Corporativos</t>
  </si>
  <si>
    <t xml:space="preserve">56 </t>
  </si>
  <si>
    <t xml:space="preserve"> Servicios de apoyo a los negocios y manejo de residuos, y servicios de remediación</t>
  </si>
  <si>
    <t xml:space="preserve">61 </t>
  </si>
  <si>
    <t xml:space="preserve"> Servicios educativos</t>
  </si>
  <si>
    <t xml:space="preserve">62 </t>
  </si>
  <si>
    <t xml:space="preserve"> Servicios de salud y de asistencia social</t>
  </si>
  <si>
    <t xml:space="preserve">71 </t>
  </si>
  <si>
    <t xml:space="preserve"> Servicios de esparcimiento culturales y deportivos, y otros servicios recreativos</t>
  </si>
  <si>
    <t xml:space="preserve">72 </t>
  </si>
  <si>
    <t xml:space="preserve"> Servicios de alojamiento temporal y de preparación de alimentos y bebidas</t>
  </si>
  <si>
    <t xml:space="preserve">81 </t>
  </si>
  <si>
    <t xml:space="preserve"> Otros servicios excepto actividades gubernamentales</t>
  </si>
  <si>
    <t xml:space="preserve">93 </t>
  </si>
  <si>
    <t xml:space="preserve"> Actividades legislativas, gubernamentales, de impartición de justicia y de organismos internacionales y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</si>
</sst>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10" fontId="0" fillId="0" borderId="10" xfId="0" applyNumberFormat="1" applyBorder="1"/>
    <xf numFmtId="3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6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60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Participación sectorial del PIB de Nuevo León, 1980 </a:t>
            </a:r>
            <a:r>
              <a:rPr lang="es-MX" sz="1400" b="0" i="0" u="none" strike="noStrike" baseline="0"/>
              <a:t>– </a:t>
            </a:r>
            <a:r>
              <a:rPr lang="es-MX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pib_pct!$B$1</c:f>
              <c:strCache>
                <c:ptCount val="1"/>
                <c:pt idx="0">
                  <c:v>actividades primarias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pib_pct!$A$2:$A$46</c:f>
              <c:numCache>
                <c:formatCode>0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pib_pct!$B$2:$B$46</c:f>
              <c:numCache>
                <c:formatCode>0.00%</c:formatCode>
                <c:ptCount val="45"/>
                <c:pt idx="0">
                  <c:v>1.090189360014711E-2</c:v>
                </c:pt>
                <c:pt idx="1">
                  <c:v>1.0538387547961535E-2</c:v>
                </c:pt>
                <c:pt idx="2">
                  <c:v>1.046213220563047E-2</c:v>
                </c:pt>
                <c:pt idx="3">
                  <c:v>1.1366298128492568E-2</c:v>
                </c:pt>
                <c:pt idx="4">
                  <c:v>1.1131107493443187E-2</c:v>
                </c:pt>
                <c:pt idx="5">
                  <c:v>1.1226695974672322E-2</c:v>
                </c:pt>
                <c:pt idx="6">
                  <c:v>1.1816685005295098E-2</c:v>
                </c:pt>
                <c:pt idx="7">
                  <c:v>1.1757472486521404E-2</c:v>
                </c:pt>
                <c:pt idx="8">
                  <c:v>1.1494987012671204E-2</c:v>
                </c:pt>
                <c:pt idx="9">
                  <c:v>1.1111899457039909E-2</c:v>
                </c:pt>
                <c:pt idx="10">
                  <c:v>1.1035525870083435E-2</c:v>
                </c:pt>
                <c:pt idx="11">
                  <c:v>1.0811054539656311E-2</c:v>
                </c:pt>
                <c:pt idx="12">
                  <c:v>1.0144121839347668E-2</c:v>
                </c:pt>
                <c:pt idx="13">
                  <c:v>8.8823359597453855E-3</c:v>
                </c:pt>
                <c:pt idx="14">
                  <c:v>1.019173886431843E-2</c:v>
                </c:pt>
                <c:pt idx="15">
                  <c:v>1.2017081249015651E-2</c:v>
                </c:pt>
                <c:pt idx="16">
                  <c:v>1.1610039032195539E-2</c:v>
                </c:pt>
                <c:pt idx="17">
                  <c:v>1.0109531846916231E-2</c:v>
                </c:pt>
                <c:pt idx="18">
                  <c:v>1.0748710675218249E-2</c:v>
                </c:pt>
                <c:pt idx="19">
                  <c:v>8.6961446488772378E-3</c:v>
                </c:pt>
                <c:pt idx="20">
                  <c:v>7.6207084180508972E-3</c:v>
                </c:pt>
                <c:pt idx="21">
                  <c:v>8.7904064865248713E-3</c:v>
                </c:pt>
                <c:pt idx="22">
                  <c:v>9.0409993529126705E-3</c:v>
                </c:pt>
                <c:pt idx="23">
                  <c:v>8.7310674694685651E-3</c:v>
                </c:pt>
                <c:pt idx="24">
                  <c:v>7.7489361707894847E-3</c:v>
                </c:pt>
                <c:pt idx="25">
                  <c:v>7.0493103493586597E-3</c:v>
                </c:pt>
                <c:pt idx="26">
                  <c:v>6.4146170986421622E-3</c:v>
                </c:pt>
                <c:pt idx="27">
                  <c:v>6.7527921868848484E-3</c:v>
                </c:pt>
                <c:pt idx="28">
                  <c:v>6.3380106789581031E-3</c:v>
                </c:pt>
                <c:pt idx="29">
                  <c:v>7.1934655975674855E-3</c:v>
                </c:pt>
                <c:pt idx="30">
                  <c:v>7.0330069437633111E-3</c:v>
                </c:pt>
                <c:pt idx="31">
                  <c:v>6.0872979054463682E-3</c:v>
                </c:pt>
                <c:pt idx="32">
                  <c:v>6.0980519180408093E-3</c:v>
                </c:pt>
                <c:pt idx="33">
                  <c:v>6.0450190352036035E-3</c:v>
                </c:pt>
                <c:pt idx="34">
                  <c:v>5.9498785398783335E-3</c:v>
                </c:pt>
                <c:pt idx="35">
                  <c:v>5.3326692620962795E-3</c:v>
                </c:pt>
                <c:pt idx="36">
                  <c:v>4.8420506917986874E-3</c:v>
                </c:pt>
                <c:pt idx="37">
                  <c:v>4.6976937971861879E-3</c:v>
                </c:pt>
                <c:pt idx="38">
                  <c:v>4.47007272583944E-3</c:v>
                </c:pt>
                <c:pt idx="39">
                  <c:v>4.8903599706371561E-3</c:v>
                </c:pt>
                <c:pt idx="40">
                  <c:v>5.3474201630696111E-3</c:v>
                </c:pt>
                <c:pt idx="41">
                  <c:v>4.8609771115922943E-3</c:v>
                </c:pt>
                <c:pt idx="42">
                  <c:v>4.8291210407999108E-3</c:v>
                </c:pt>
                <c:pt idx="43">
                  <c:v>4.6760431242533033E-3</c:v>
                </c:pt>
                <c:pt idx="44">
                  <c:v>4.6195521785018989E-3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B-463B-9DDB-1709F22BE58A}"/>
            </c:ext>
          </c:extLst>
        </c:ser>
        <c:ser>
          <c:idx val="1"/>
          <c:order val="1"/>
          <c:tx>
            <c:strRef>
              <c:f>pib_pct!$C$1</c:f>
              <c:strCache>
                <c:ptCount val="1"/>
                <c:pt idx="0">
                  <c:v>actividades secundarias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pib_pct!$A$2:$A$46</c:f>
              <c:numCache>
                <c:formatCode>0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pib_pct!$C$2:$C$46</c:f>
              <c:numCache>
                <c:formatCode>0.00%</c:formatCode>
                <c:ptCount val="45"/>
                <c:pt idx="0">
                  <c:v>0.46355821834839428</c:v>
                </c:pt>
                <c:pt idx="1">
                  <c:v>0.46779261903678993</c:v>
                </c:pt>
                <c:pt idx="2">
                  <c:v>0.46368310983847216</c:v>
                </c:pt>
                <c:pt idx="3">
                  <c:v>0.44188978071384333</c:v>
                </c:pt>
                <c:pt idx="4">
                  <c:v>0.44508048645384646</c:v>
                </c:pt>
                <c:pt idx="5">
                  <c:v>0.4520253126516402</c:v>
                </c:pt>
                <c:pt idx="6">
                  <c:v>0.43940138671742696</c:v>
                </c:pt>
                <c:pt idx="7">
                  <c:v>0.44312077542265094</c:v>
                </c:pt>
                <c:pt idx="8">
                  <c:v>0.44204395777830424</c:v>
                </c:pt>
                <c:pt idx="9">
                  <c:v>0.43883380947148659</c:v>
                </c:pt>
                <c:pt idx="10">
                  <c:v>0.43947815061646056</c:v>
                </c:pt>
                <c:pt idx="11">
                  <c:v>0.43031899985757166</c:v>
                </c:pt>
                <c:pt idx="12">
                  <c:v>0.4272593862430476</c:v>
                </c:pt>
                <c:pt idx="13">
                  <c:v>0.41710720334516654</c:v>
                </c:pt>
                <c:pt idx="14">
                  <c:v>0.41454772225240205</c:v>
                </c:pt>
                <c:pt idx="15">
                  <c:v>0.39663264064925713</c:v>
                </c:pt>
                <c:pt idx="16">
                  <c:v>0.41707419681857211</c:v>
                </c:pt>
                <c:pt idx="17">
                  <c:v>0.42619068269759641</c:v>
                </c:pt>
                <c:pt idx="18">
                  <c:v>0.42473766670763585</c:v>
                </c:pt>
                <c:pt idx="19">
                  <c:v>0.42632791663214975</c:v>
                </c:pt>
                <c:pt idx="20">
                  <c:v>0.42559720862881484</c:v>
                </c:pt>
                <c:pt idx="21">
                  <c:v>0.42259672254380382</c:v>
                </c:pt>
                <c:pt idx="22">
                  <c:v>0.41649533316398885</c:v>
                </c:pt>
                <c:pt idx="23">
                  <c:v>0.4182467088073476</c:v>
                </c:pt>
                <c:pt idx="24">
                  <c:v>0.4133399946295635</c:v>
                </c:pt>
                <c:pt idx="25">
                  <c:v>0.41699637052746541</c:v>
                </c:pt>
                <c:pt idx="26">
                  <c:v>0.42168767012443137</c:v>
                </c:pt>
                <c:pt idx="27">
                  <c:v>0.41778405754678444</c:v>
                </c:pt>
                <c:pt idx="28">
                  <c:v>0.40798386560984384</c:v>
                </c:pt>
                <c:pt idx="29">
                  <c:v>0.4095525279771004</c:v>
                </c:pt>
                <c:pt idx="30">
                  <c:v>0.41219982411732636</c:v>
                </c:pt>
                <c:pt idx="31">
                  <c:v>0.40863076595223596</c:v>
                </c:pt>
                <c:pt idx="32">
                  <c:v>0.40345208835429647</c:v>
                </c:pt>
                <c:pt idx="33">
                  <c:v>0.39601478246053001</c:v>
                </c:pt>
                <c:pt idx="34">
                  <c:v>0.39933383728059352</c:v>
                </c:pt>
                <c:pt idx="35">
                  <c:v>0.39829174498851611</c:v>
                </c:pt>
                <c:pt idx="36">
                  <c:v>0.38531867747173548</c:v>
                </c:pt>
                <c:pt idx="37">
                  <c:v>0.38418597269428689</c:v>
                </c:pt>
                <c:pt idx="38">
                  <c:v>0.39914498879110594</c:v>
                </c:pt>
                <c:pt idx="39">
                  <c:v>0.39807043144193838</c:v>
                </c:pt>
                <c:pt idx="40">
                  <c:v>0.38833407914217455</c:v>
                </c:pt>
                <c:pt idx="41">
                  <c:v>0.39716472549172116</c:v>
                </c:pt>
                <c:pt idx="42">
                  <c:v>0.39841908470978921</c:v>
                </c:pt>
                <c:pt idx="43">
                  <c:v>0.39694091853572927</c:v>
                </c:pt>
                <c:pt idx="44">
                  <c:v>0.39628594006220591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B-463B-9DDB-1709F22BE58A}"/>
            </c:ext>
          </c:extLst>
        </c:ser>
        <c:ser>
          <c:idx val="2"/>
          <c:order val="2"/>
          <c:tx>
            <c:strRef>
              <c:f>pib_pct!$D$1</c:f>
              <c:strCache>
                <c:ptCount val="1"/>
                <c:pt idx="0">
                  <c:v>actividades terciarias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pib_pct!$A$2:$A$46</c:f>
              <c:numCache>
                <c:formatCode>0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pib_pct!$D$2:$D$46</c:f>
              <c:numCache>
                <c:formatCode>0.00%</c:formatCode>
                <c:ptCount val="45"/>
                <c:pt idx="0">
                  <c:v>0.45619856357797267</c:v>
                </c:pt>
                <c:pt idx="1">
                  <c:v>0.45232767102632504</c:v>
                </c:pt>
                <c:pt idx="2">
                  <c:v>0.45651343377290471</c:v>
                </c:pt>
                <c:pt idx="3">
                  <c:v>0.47740259869774332</c:v>
                </c:pt>
                <c:pt idx="4">
                  <c:v>0.47444708550458659</c:v>
                </c:pt>
                <c:pt idx="5">
                  <c:v>0.46740666905285999</c:v>
                </c:pt>
                <c:pt idx="6">
                  <c:v>0.47944060830062729</c:v>
                </c:pt>
                <c:pt idx="7">
                  <c:v>0.4757804327672378</c:v>
                </c:pt>
                <c:pt idx="8">
                  <c:v>0.47711973562232685</c:v>
                </c:pt>
                <c:pt idx="9">
                  <c:v>0.48071297157427922</c:v>
                </c:pt>
                <c:pt idx="10">
                  <c:v>0.48014500371902069</c:v>
                </c:pt>
                <c:pt idx="11">
                  <c:v>0.4895286274939773</c:v>
                </c:pt>
                <c:pt idx="12">
                  <c:v>0.49325517395867474</c:v>
                </c:pt>
                <c:pt idx="13">
                  <c:v>0.50466914238787985</c:v>
                </c:pt>
                <c:pt idx="14">
                  <c:v>0.50416515648330984</c:v>
                </c:pt>
                <c:pt idx="15">
                  <c:v>0.52141756414198603</c:v>
                </c:pt>
                <c:pt idx="16">
                  <c:v>0.50248703123537508</c:v>
                </c:pt>
                <c:pt idx="17">
                  <c:v>0.49456396655109591</c:v>
                </c:pt>
                <c:pt idx="18">
                  <c:v>0.49492283414168531</c:v>
                </c:pt>
                <c:pt idx="19">
                  <c:v>0.49522024147624949</c:v>
                </c:pt>
                <c:pt idx="20">
                  <c:v>0.4981537909993396</c:v>
                </c:pt>
                <c:pt idx="21">
                  <c:v>0.49580374197496341</c:v>
                </c:pt>
                <c:pt idx="22">
                  <c:v>0.50046331033756941</c:v>
                </c:pt>
                <c:pt idx="23">
                  <c:v>0.49775042861962876</c:v>
                </c:pt>
                <c:pt idx="24">
                  <c:v>0.5042264967192005</c:v>
                </c:pt>
                <c:pt idx="25">
                  <c:v>0.50345348218526143</c:v>
                </c:pt>
                <c:pt idx="26">
                  <c:v>0.49992076804858954</c:v>
                </c:pt>
                <c:pt idx="27">
                  <c:v>0.50568487497286263</c:v>
                </c:pt>
                <c:pt idx="28">
                  <c:v>0.51437120332264896</c:v>
                </c:pt>
                <c:pt idx="29">
                  <c:v>0.51532147327740241</c:v>
                </c:pt>
                <c:pt idx="30">
                  <c:v>0.51646960250558294</c:v>
                </c:pt>
                <c:pt idx="31">
                  <c:v>0.52384868803897999</c:v>
                </c:pt>
                <c:pt idx="32">
                  <c:v>0.53169711942567233</c:v>
                </c:pt>
                <c:pt idx="33">
                  <c:v>0.54038156638709989</c:v>
                </c:pt>
                <c:pt idx="34">
                  <c:v>0.53699946643641361</c:v>
                </c:pt>
                <c:pt idx="35">
                  <c:v>0.53637432633187276</c:v>
                </c:pt>
                <c:pt idx="36">
                  <c:v>0.54765708641184008</c:v>
                </c:pt>
                <c:pt idx="37">
                  <c:v>0.54915294594278807</c:v>
                </c:pt>
                <c:pt idx="38">
                  <c:v>0.53335814021873407</c:v>
                </c:pt>
                <c:pt idx="39">
                  <c:v>0.53353954623207578</c:v>
                </c:pt>
                <c:pt idx="40">
                  <c:v>0.54721780444381796</c:v>
                </c:pt>
                <c:pt idx="41">
                  <c:v>0.53638169707585714</c:v>
                </c:pt>
                <c:pt idx="42">
                  <c:v>0.53356846942232716</c:v>
                </c:pt>
                <c:pt idx="43">
                  <c:v>0.53523965944198293</c:v>
                </c:pt>
                <c:pt idx="44">
                  <c:v>0.53590916784328135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B-463B-9DDB-1709F22B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014048"/>
        <c:axId val="2086012128"/>
      </c:lineChart>
      <c:catAx>
        <c:axId val="20860140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6012128"/>
        <c:crosses val="autoZero"/>
        <c:auto val="1"/>
        <c:lblAlgn val="ctr"/>
        <c:lblOffset val="100"/>
        <c:noMultiLvlLbl val="0"/>
      </c:catAx>
      <c:valAx>
        <c:axId val="20860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601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sobre PIB total, Actividad Terciaria 1980  –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terc_det!$B$1</c:f>
              <c:strCache>
                <c:ptCount val="1"/>
                <c:pt idx="0">
                  <c:v>Comercio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terc_det!$B$2:$B$23</c:f>
              <c:numCache>
                <c:formatCode>0.00%</c:formatCode>
                <c:ptCount val="22"/>
                <c:pt idx="0">
                  <c:v>0.16480042747196386</c:v>
                </c:pt>
                <c:pt idx="1">
                  <c:v>0.16841060713534306</c:v>
                </c:pt>
                <c:pt idx="2">
                  <c:v>0.16969942224073339</c:v>
                </c:pt>
                <c:pt idx="3">
                  <c:v>0.17056334812944446</c:v>
                </c:pt>
                <c:pt idx="4">
                  <c:v>0.17102105829720068</c:v>
                </c:pt>
                <c:pt idx="5">
                  <c:v>0.17274043181420276</c:v>
                </c:pt>
                <c:pt idx="6">
                  <c:v>0.1588199654788762</c:v>
                </c:pt>
                <c:pt idx="7">
                  <c:v>0.16853448037125673</c:v>
                </c:pt>
                <c:pt idx="8">
                  <c:v>0.17517768838644787</c:v>
                </c:pt>
                <c:pt idx="9">
                  <c:v>0.17873264355641344</c:v>
                </c:pt>
                <c:pt idx="10">
                  <c:v>0.17681494958315114</c:v>
                </c:pt>
                <c:pt idx="11">
                  <c:v>0.18004796522703798</c:v>
                </c:pt>
                <c:pt idx="12">
                  <c:v>0.17614058816705166</c:v>
                </c:pt>
                <c:pt idx="13">
                  <c:v>0.17657291227213839</c:v>
                </c:pt>
                <c:pt idx="14">
                  <c:v>0.17214077225254171</c:v>
                </c:pt>
                <c:pt idx="15">
                  <c:v>0.16569847394491422</c:v>
                </c:pt>
                <c:pt idx="16">
                  <c:v>0.16158424089247042</c:v>
                </c:pt>
                <c:pt idx="17">
                  <c:v>0.16586151091163415</c:v>
                </c:pt>
                <c:pt idx="18">
                  <c:v>0.16693084063024033</c:v>
                </c:pt>
                <c:pt idx="19">
                  <c:v>0.17283711930932069</c:v>
                </c:pt>
                <c:pt idx="20">
                  <c:v>0.17514774872676378</c:v>
                </c:pt>
                <c:pt idx="21">
                  <c:v>0.17332824015084713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5-4F9F-B8AD-2B97A55CF9B2}"/>
            </c:ext>
          </c:extLst>
        </c:ser>
        <c:ser>
          <c:idx val="1"/>
          <c:order val="1"/>
          <c:tx>
            <c:strRef>
              <c:f>terc_det!$C$1</c:f>
              <c:strCache>
                <c:ptCount val="1"/>
                <c:pt idx="0">
                  <c:v>Logística y transporte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terc_det!$C$2:$C$23</c:f>
              <c:numCache>
                <c:formatCode>0.00%</c:formatCode>
                <c:ptCount val="22"/>
                <c:pt idx="0">
                  <c:v>7.5629733816435993E-2</c:v>
                </c:pt>
                <c:pt idx="1">
                  <c:v>7.8449126197903216E-2</c:v>
                </c:pt>
                <c:pt idx="2">
                  <c:v>7.7945248462962108E-2</c:v>
                </c:pt>
                <c:pt idx="3">
                  <c:v>7.6179840533337137E-2</c:v>
                </c:pt>
                <c:pt idx="4">
                  <c:v>7.5874778159413875E-2</c:v>
                </c:pt>
                <c:pt idx="5">
                  <c:v>7.5090800471625779E-2</c:v>
                </c:pt>
                <c:pt idx="6">
                  <c:v>7.2756666059066957E-2</c:v>
                </c:pt>
                <c:pt idx="7">
                  <c:v>7.5045659980382512E-2</c:v>
                </c:pt>
                <c:pt idx="8">
                  <c:v>7.7181777023167225E-2</c:v>
                </c:pt>
                <c:pt idx="9">
                  <c:v>7.9684716606414463E-2</c:v>
                </c:pt>
                <c:pt idx="10">
                  <c:v>8.1466737862882971E-2</c:v>
                </c:pt>
                <c:pt idx="11">
                  <c:v>8.3366420568130761E-2</c:v>
                </c:pt>
                <c:pt idx="12">
                  <c:v>8.5121952361567305E-2</c:v>
                </c:pt>
                <c:pt idx="13">
                  <c:v>8.6173215503251632E-2</c:v>
                </c:pt>
                <c:pt idx="14">
                  <c:v>8.8526394818077322E-2</c:v>
                </c:pt>
                <c:pt idx="15">
                  <c:v>8.6498914825137024E-2</c:v>
                </c:pt>
                <c:pt idx="16">
                  <c:v>8.5994624566613553E-2</c:v>
                </c:pt>
                <c:pt idx="17">
                  <c:v>8.3049565738252284E-2</c:v>
                </c:pt>
                <c:pt idx="18">
                  <c:v>8.818150188960594E-2</c:v>
                </c:pt>
                <c:pt idx="19">
                  <c:v>9.3511705488209071E-2</c:v>
                </c:pt>
                <c:pt idx="20">
                  <c:v>9.3927329466035422E-2</c:v>
                </c:pt>
                <c:pt idx="21">
                  <c:v>9.408242585221295E-2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5-4F9F-B8AD-2B97A55CF9B2}"/>
            </c:ext>
          </c:extLst>
        </c:ser>
        <c:ser>
          <c:idx val="2"/>
          <c:order val="2"/>
          <c:tx>
            <c:strRef>
              <c:f>terc_det!$D$1</c:f>
              <c:strCache>
                <c:ptCount val="1"/>
                <c:pt idx="0">
                  <c:v>Servicios empresariales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terc_det!$D$2:$D$23</c:f>
              <c:numCache>
                <c:formatCode>0.00%</c:formatCode>
                <c:ptCount val="22"/>
                <c:pt idx="0">
                  <c:v>7.9238557337423299E-2</c:v>
                </c:pt>
                <c:pt idx="1">
                  <c:v>8.122861119349821E-2</c:v>
                </c:pt>
                <c:pt idx="2">
                  <c:v>8.0061609366433195E-2</c:v>
                </c:pt>
                <c:pt idx="3">
                  <c:v>8.3179443627790756E-2</c:v>
                </c:pt>
                <c:pt idx="4">
                  <c:v>8.9465962367115681E-2</c:v>
                </c:pt>
                <c:pt idx="5">
                  <c:v>9.3742266535420407E-2</c:v>
                </c:pt>
                <c:pt idx="6">
                  <c:v>0.10119398486895595</c:v>
                </c:pt>
                <c:pt idx="7">
                  <c:v>9.9842635318970141E-2</c:v>
                </c:pt>
                <c:pt idx="8">
                  <c:v>0.10169347975152429</c:v>
                </c:pt>
                <c:pt idx="9">
                  <c:v>0.10214155439484982</c:v>
                </c:pt>
                <c:pt idx="10">
                  <c:v>0.1084722124811963</c:v>
                </c:pt>
                <c:pt idx="11">
                  <c:v>0.10604522965702766</c:v>
                </c:pt>
                <c:pt idx="12">
                  <c:v>0.10970956337342781</c:v>
                </c:pt>
                <c:pt idx="13">
                  <c:v>0.11966175447755154</c:v>
                </c:pt>
                <c:pt idx="14">
                  <c:v>0.12560914385017991</c:v>
                </c:pt>
                <c:pt idx="15">
                  <c:v>0.12526199460407156</c:v>
                </c:pt>
                <c:pt idx="16">
                  <c:v>0.1276102141854201</c:v>
                </c:pt>
                <c:pt idx="17">
                  <c:v>0.13704825625740327</c:v>
                </c:pt>
                <c:pt idx="18">
                  <c:v>0.1198301532345618</c:v>
                </c:pt>
                <c:pt idx="19">
                  <c:v>0.10338513963998547</c:v>
                </c:pt>
                <c:pt idx="20">
                  <c:v>0.10470625422384724</c:v>
                </c:pt>
                <c:pt idx="21">
                  <c:v>0.10839949211249879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5-4F9F-B8AD-2B97A55CF9B2}"/>
            </c:ext>
          </c:extLst>
        </c:ser>
        <c:ser>
          <c:idx val="3"/>
          <c:order val="3"/>
          <c:tx>
            <c:strRef>
              <c:f>terc_det!$E$1</c:f>
              <c:strCache>
                <c:ptCount val="1"/>
                <c:pt idx="0">
                  <c:v>Servicios inmobiliarios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terc_det!$E$2:$E$23</c:f>
              <c:numCache>
                <c:formatCode>0.00%</c:formatCode>
                <c:ptCount val="22"/>
                <c:pt idx="0">
                  <c:v>5.8580648149019608E-2</c:v>
                </c:pt>
                <c:pt idx="1">
                  <c:v>5.953005641623943E-2</c:v>
                </c:pt>
                <c:pt idx="2">
                  <c:v>5.942005880416034E-2</c:v>
                </c:pt>
                <c:pt idx="3">
                  <c:v>5.8613425281283264E-2</c:v>
                </c:pt>
                <c:pt idx="4">
                  <c:v>5.8559025587882757E-2</c:v>
                </c:pt>
                <c:pt idx="5">
                  <c:v>6.0930529762106223E-2</c:v>
                </c:pt>
                <c:pt idx="6">
                  <c:v>6.5255984213818688E-2</c:v>
                </c:pt>
                <c:pt idx="7">
                  <c:v>6.2616756249393238E-2</c:v>
                </c:pt>
                <c:pt idx="8">
                  <c:v>6.2354345592555802E-2</c:v>
                </c:pt>
                <c:pt idx="9">
                  <c:v>6.1992285857028678E-2</c:v>
                </c:pt>
                <c:pt idx="10">
                  <c:v>6.2848388945095396E-2</c:v>
                </c:pt>
                <c:pt idx="11">
                  <c:v>6.255169915743071E-2</c:v>
                </c:pt>
                <c:pt idx="12">
                  <c:v>6.2141241512454794E-2</c:v>
                </c:pt>
                <c:pt idx="13">
                  <c:v>6.3222850968039757E-2</c:v>
                </c:pt>
                <c:pt idx="14">
                  <c:v>6.2162340384182953E-2</c:v>
                </c:pt>
                <c:pt idx="15">
                  <c:v>6.0378246150373502E-2</c:v>
                </c:pt>
                <c:pt idx="16">
                  <c:v>6.17089737885144E-2</c:v>
                </c:pt>
                <c:pt idx="17">
                  <c:v>6.7853921876016715E-2</c:v>
                </c:pt>
                <c:pt idx="18">
                  <c:v>6.7944121864171286E-2</c:v>
                </c:pt>
                <c:pt idx="19">
                  <c:v>6.8699444654230168E-2</c:v>
                </c:pt>
                <c:pt idx="20">
                  <c:v>6.8661433276306541E-2</c:v>
                </c:pt>
                <c:pt idx="21">
                  <c:v>6.6667642073297367E-2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45-4F9F-B8AD-2B97A55CF9B2}"/>
            </c:ext>
          </c:extLst>
        </c:ser>
        <c:ser>
          <c:idx val="4"/>
          <c:order val="4"/>
          <c:tx>
            <c:strRef>
              <c:f>terc_det!$F$1</c:f>
              <c:strCache>
                <c:ptCount val="1"/>
                <c:pt idx="0">
                  <c:v>Servicios sociales y gobierno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terc_det!$F$2:$F$23</c:f>
              <c:numCache>
                <c:formatCode>0.00%</c:formatCode>
                <c:ptCount val="22"/>
                <c:pt idx="0">
                  <c:v>7.3016225252834105E-2</c:v>
                </c:pt>
                <c:pt idx="1">
                  <c:v>7.1139786099001706E-2</c:v>
                </c:pt>
                <c:pt idx="2">
                  <c:v>7.0361250172224277E-2</c:v>
                </c:pt>
                <c:pt idx="3">
                  <c:v>6.6787635693052488E-2</c:v>
                </c:pt>
                <c:pt idx="4">
                  <c:v>6.5121884863785909E-2</c:v>
                </c:pt>
                <c:pt idx="5">
                  <c:v>6.8004462022989196E-2</c:v>
                </c:pt>
                <c:pt idx="6">
                  <c:v>7.4005406479821928E-2</c:v>
                </c:pt>
                <c:pt idx="7">
                  <c:v>7.1224557354404944E-2</c:v>
                </c:pt>
                <c:pt idx="8">
                  <c:v>6.9632446248744873E-2</c:v>
                </c:pt>
                <c:pt idx="9">
                  <c:v>7.023308032210715E-2</c:v>
                </c:pt>
                <c:pt idx="10">
                  <c:v>7.0405195139582211E-2</c:v>
                </c:pt>
                <c:pt idx="11">
                  <c:v>6.7354535694300249E-2</c:v>
                </c:pt>
                <c:pt idx="12">
                  <c:v>6.4880869824303106E-2</c:v>
                </c:pt>
                <c:pt idx="13">
                  <c:v>6.3568834072294966E-2</c:v>
                </c:pt>
                <c:pt idx="14">
                  <c:v>6.3055095104337378E-2</c:v>
                </c:pt>
                <c:pt idx="15">
                  <c:v>6.0691876694730001E-2</c:v>
                </c:pt>
                <c:pt idx="16">
                  <c:v>6.2173036950718158E-2</c:v>
                </c:pt>
                <c:pt idx="17">
                  <c:v>6.7121637471621948E-2</c:v>
                </c:pt>
                <c:pt idx="18">
                  <c:v>6.3566633661280833E-2</c:v>
                </c:pt>
                <c:pt idx="19">
                  <c:v>6.2759713788594337E-2</c:v>
                </c:pt>
                <c:pt idx="20">
                  <c:v>6.2506628480752668E-2</c:v>
                </c:pt>
                <c:pt idx="21">
                  <c:v>6.1404344819548193E-2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45-4F9F-B8AD-2B97A55CF9B2}"/>
            </c:ext>
          </c:extLst>
        </c:ser>
        <c:ser>
          <c:idx val="5"/>
          <c:order val="5"/>
          <c:tx>
            <c:strRef>
              <c:f>terc_det!$G$1</c:f>
              <c:strCache>
                <c:ptCount val="1"/>
                <c:pt idx="0">
                  <c:v>Turismo y servicio personales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terc_det!$G$2:$G$23</c:f>
              <c:numCache>
                <c:formatCode>0.00%</c:formatCode>
                <c:ptCount val="22"/>
                <c:pt idx="0">
                  <c:v>4.6484836591951954E-2</c:v>
                </c:pt>
                <c:pt idx="1">
                  <c:v>4.5468309677214859E-2</c:v>
                </c:pt>
                <c:pt idx="2">
                  <c:v>4.5965893138748132E-2</c:v>
                </c:pt>
                <c:pt idx="3">
                  <c:v>4.4597074783681384E-2</c:v>
                </c:pt>
                <c:pt idx="4">
                  <c:v>4.564216569746371E-2</c:v>
                </c:pt>
                <c:pt idx="5">
                  <c:v>4.3862712716304583E-2</c:v>
                </c:pt>
                <c:pt idx="6">
                  <c:v>4.3289466176862745E-2</c:v>
                </c:pt>
                <c:pt idx="7">
                  <c:v>3.9205513231175305E-2</c:v>
                </c:pt>
                <c:pt idx="8">
                  <c:v>3.7808951036539952E-2</c:v>
                </c:pt>
                <c:pt idx="9">
                  <c:v>3.8912838688858781E-2</c:v>
                </c:pt>
                <c:pt idx="10">
                  <c:v>4.0374082375191793E-2</c:v>
                </c:pt>
                <c:pt idx="11">
                  <c:v>3.7633616132486225E-2</c:v>
                </c:pt>
                <c:pt idx="12">
                  <c:v>3.8380111093068069E-2</c:v>
                </c:pt>
                <c:pt idx="13">
                  <c:v>3.8457519118563856E-2</c:v>
                </c:pt>
                <c:pt idx="14">
                  <c:v>3.7659199533468808E-2</c:v>
                </c:pt>
                <c:pt idx="15">
                  <c:v>3.482863399950771E-2</c:v>
                </c:pt>
                <c:pt idx="16">
                  <c:v>3.4468455848339095E-2</c:v>
                </c:pt>
                <c:pt idx="17">
                  <c:v>2.6282912188889587E-2</c:v>
                </c:pt>
                <c:pt idx="18">
                  <c:v>2.9928445795996975E-2</c:v>
                </c:pt>
                <c:pt idx="19">
                  <c:v>3.2375346541987399E-2</c:v>
                </c:pt>
                <c:pt idx="20">
                  <c:v>3.0290265268277286E-2</c:v>
                </c:pt>
                <c:pt idx="21">
                  <c:v>3.202702283487683E-2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45-4F9F-B8AD-2B97A55CF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436704"/>
        <c:axId val="465421344"/>
      </c:barChart>
      <c:catAx>
        <c:axId val="4654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5421344"/>
        <c:crosses val="autoZero"/>
        <c:auto val="1"/>
        <c:lblAlgn val="ctr"/>
        <c:lblOffset val="100"/>
        <c:noMultiLvlLbl val="0"/>
      </c:catAx>
      <c:valAx>
        <c:axId val="4654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54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sobre PIB total, Actividad Secundaria 1980  –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0038220445261442E-2"/>
          <c:y val="0.14148596990577067"/>
          <c:w val="0.91613341582158325"/>
          <c:h val="0.521181869818532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sec_det!$B$1</c:f>
              <c:strCache>
                <c:ptCount val="1"/>
                <c:pt idx="0">
                  <c:v> Construcción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sec_det!$B$2:$B$23</c:f>
              <c:numCache>
                <c:formatCode>0.00%</c:formatCode>
                <c:ptCount val="22"/>
                <c:pt idx="0">
                  <c:v>4.597589786389028E-2</c:v>
                </c:pt>
                <c:pt idx="1">
                  <c:v>4.8229129114082274E-2</c:v>
                </c:pt>
                <c:pt idx="2">
                  <c:v>5.4889741620417307E-2</c:v>
                </c:pt>
                <c:pt idx="3">
                  <c:v>6.0788292605530439E-2</c:v>
                </c:pt>
                <c:pt idx="4">
                  <c:v>6.974578006323591E-2</c:v>
                </c:pt>
                <c:pt idx="5">
                  <c:v>6.3313464499160338E-2</c:v>
                </c:pt>
                <c:pt idx="6">
                  <c:v>5.7631795475436773E-2</c:v>
                </c:pt>
                <c:pt idx="7">
                  <c:v>6.0423240502093203E-2</c:v>
                </c:pt>
                <c:pt idx="8">
                  <c:v>5.9928468567643355E-2</c:v>
                </c:pt>
                <c:pt idx="9">
                  <c:v>5.4995894456673591E-2</c:v>
                </c:pt>
                <c:pt idx="10">
                  <c:v>5.5187456261407815E-2</c:v>
                </c:pt>
                <c:pt idx="11">
                  <c:v>5.9399335179232578E-2</c:v>
                </c:pt>
                <c:pt idx="12">
                  <c:v>6.5691105430693397E-2</c:v>
                </c:pt>
                <c:pt idx="13">
                  <c:v>5.8123062843950267E-2</c:v>
                </c:pt>
                <c:pt idx="14">
                  <c:v>5.7272889748529329E-2</c:v>
                </c:pt>
                <c:pt idx="15">
                  <c:v>5.9705589147590818E-2</c:v>
                </c:pt>
                <c:pt idx="16">
                  <c:v>5.8749038420651059E-2</c:v>
                </c:pt>
                <c:pt idx="17">
                  <c:v>5.727616623609838E-2</c:v>
                </c:pt>
                <c:pt idx="18">
                  <c:v>5.5048029432218093E-2</c:v>
                </c:pt>
                <c:pt idx="19">
                  <c:v>4.8930060181226628E-2</c:v>
                </c:pt>
                <c:pt idx="20">
                  <c:v>4.7936875542832949E-2</c:v>
                </c:pt>
                <c:pt idx="21">
                  <c:v>5.6999563977216623E-2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5-49DE-BA1F-95A1E0207B3D}"/>
            </c:ext>
          </c:extLst>
        </c:ser>
        <c:ser>
          <c:idx val="1"/>
          <c:order val="1"/>
          <c:tx>
            <c:strRef>
              <c:f>sec_det!$C$1</c:f>
              <c:strCache>
                <c:ptCount val="1"/>
                <c:pt idx="0">
                  <c:v> Generación, transmisión, distribución y comercialización de energía eléctrica, suministro de agua y de gas natural por ductos al consumidor final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sec_det!$C$2:$C$23</c:f>
              <c:numCache>
                <c:formatCode>0.00%</c:formatCode>
                <c:ptCount val="22"/>
                <c:pt idx="0">
                  <c:v>1.2826860398401311E-2</c:v>
                </c:pt>
                <c:pt idx="1">
                  <c:v>1.2625129188777454E-2</c:v>
                </c:pt>
                <c:pt idx="2">
                  <c:v>1.279234949551609E-2</c:v>
                </c:pt>
                <c:pt idx="3">
                  <c:v>1.4821666887915235E-2</c:v>
                </c:pt>
                <c:pt idx="4">
                  <c:v>1.4180386370153803E-2</c:v>
                </c:pt>
                <c:pt idx="5">
                  <c:v>1.6008310853075636E-2</c:v>
                </c:pt>
                <c:pt idx="6">
                  <c:v>1.6970367159013872E-2</c:v>
                </c:pt>
                <c:pt idx="7">
                  <c:v>1.6039912619262037E-2</c:v>
                </c:pt>
                <c:pt idx="8">
                  <c:v>1.7790919557845824E-2</c:v>
                </c:pt>
                <c:pt idx="9">
                  <c:v>1.7746516305077335E-2</c:v>
                </c:pt>
                <c:pt idx="10">
                  <c:v>1.7548065717440539E-2</c:v>
                </c:pt>
                <c:pt idx="11">
                  <c:v>1.751338996475868E-2</c:v>
                </c:pt>
                <c:pt idx="12">
                  <c:v>1.8230180784833756E-2</c:v>
                </c:pt>
                <c:pt idx="13">
                  <c:v>1.7558362288106439E-2</c:v>
                </c:pt>
                <c:pt idx="14">
                  <c:v>1.649281746467833E-2</c:v>
                </c:pt>
                <c:pt idx="15">
                  <c:v>1.7804935739404781E-2</c:v>
                </c:pt>
                <c:pt idx="16">
                  <c:v>1.8295877888929286E-2</c:v>
                </c:pt>
                <c:pt idx="17">
                  <c:v>1.5666873324979517E-2</c:v>
                </c:pt>
                <c:pt idx="18">
                  <c:v>1.3969850698605698E-2</c:v>
                </c:pt>
                <c:pt idx="19">
                  <c:v>1.2125858912262581E-2</c:v>
                </c:pt>
                <c:pt idx="20">
                  <c:v>1.2427131401210845E-2</c:v>
                </c:pt>
                <c:pt idx="21">
                  <c:v>1.1639365835236641E-2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5-49DE-BA1F-95A1E0207B3D}"/>
            </c:ext>
          </c:extLst>
        </c:ser>
        <c:ser>
          <c:idx val="2"/>
          <c:order val="2"/>
          <c:tx>
            <c:strRef>
              <c:f>sec_det!$D$1</c:f>
              <c:strCache>
                <c:ptCount val="1"/>
                <c:pt idx="0">
                  <c:v> Industrias manufactureras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sec_det!$D$2:$D$23</c:f>
              <c:numCache>
                <c:formatCode>0.00%</c:formatCode>
                <c:ptCount val="22"/>
                <c:pt idx="0">
                  <c:v>0.35045693309119302</c:v>
                </c:pt>
                <c:pt idx="1">
                  <c:v>0.34363482234865417</c:v>
                </c:pt>
                <c:pt idx="2">
                  <c:v>0.3401614231832375</c:v>
                </c:pt>
                <c:pt idx="3">
                  <c:v>0.33793851693385935</c:v>
                </c:pt>
                <c:pt idx="4">
                  <c:v>0.32565309671807929</c:v>
                </c:pt>
                <c:pt idx="5">
                  <c:v>0.3208831591740135</c:v>
                </c:pt>
                <c:pt idx="6">
                  <c:v>0.32562037570605118</c:v>
                </c:pt>
                <c:pt idx="7">
                  <c:v>0.32641142114047822</c:v>
                </c:pt>
                <c:pt idx="8">
                  <c:v>0.32224411282221693</c:v>
                </c:pt>
                <c:pt idx="9">
                  <c:v>0.32287885142998235</c:v>
                </c:pt>
                <c:pt idx="10">
                  <c:v>0.3144057391610392</c:v>
                </c:pt>
                <c:pt idx="11">
                  <c:v>0.31400319674077648</c:v>
                </c:pt>
                <c:pt idx="12">
                  <c:v>0.30589519018285388</c:v>
                </c:pt>
                <c:pt idx="13">
                  <c:v>0.30295979178794458</c:v>
                </c:pt>
                <c:pt idx="14">
                  <c:v>0.30469690688195644</c:v>
                </c:pt>
                <c:pt idx="15">
                  <c:v>0.31554938106449004</c:v>
                </c:pt>
                <c:pt idx="16">
                  <c:v>0.31556193405163491</c:v>
                </c:pt>
                <c:pt idx="17">
                  <c:v>0.30956153327032432</c:v>
                </c:pt>
                <c:pt idx="18">
                  <c:v>0.32244505963692832</c:v>
                </c:pt>
                <c:pt idx="19">
                  <c:v>0.33138644790067173</c:v>
                </c:pt>
                <c:pt idx="20">
                  <c:v>0.33008015034950444</c:v>
                </c:pt>
                <c:pt idx="21">
                  <c:v>0.32144279252368196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5-49DE-BA1F-95A1E0207B3D}"/>
            </c:ext>
          </c:extLst>
        </c:ser>
        <c:ser>
          <c:idx val="3"/>
          <c:order val="3"/>
          <c:tx>
            <c:strRef>
              <c:f>sec_det!$E$1</c:f>
              <c:strCache>
                <c:ptCount val="1"/>
                <c:pt idx="0">
                  <c:v> Minería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sec_det!$E$2:$E$23</c:f>
              <c:numCache>
                <c:formatCode>0.00%</c:formatCode>
                <c:ptCount val="22"/>
                <c:pt idx="0">
                  <c:v>8.9870174538630061E-3</c:v>
                </c:pt>
                <c:pt idx="1">
                  <c:v>8.850913978049664E-3</c:v>
                </c:pt>
                <c:pt idx="2">
                  <c:v>9.15285622829453E-3</c:v>
                </c:pt>
                <c:pt idx="3">
                  <c:v>8.1391936971263682E-3</c:v>
                </c:pt>
                <c:pt idx="4">
                  <c:v>8.2047943953154068E-3</c:v>
                </c:pt>
                <c:pt idx="5">
                  <c:v>7.7789310835943834E-3</c:v>
                </c:pt>
                <c:pt idx="6">
                  <c:v>9.3299896365985589E-3</c:v>
                </c:pt>
                <c:pt idx="7">
                  <c:v>9.3252498554929047E-3</c:v>
                </c:pt>
                <c:pt idx="8">
                  <c:v>8.6672650045298717E-3</c:v>
                </c:pt>
                <c:pt idx="9">
                  <c:v>7.8308261625631877E-3</c:v>
                </c:pt>
                <c:pt idx="10">
                  <c:v>8.8735213206425044E-3</c:v>
                </c:pt>
                <c:pt idx="11">
                  <c:v>8.4179153958257938E-3</c:v>
                </c:pt>
                <c:pt idx="12">
                  <c:v>8.4752685901350495E-3</c:v>
                </c:pt>
                <c:pt idx="13">
                  <c:v>6.6774605517341754E-3</c:v>
                </c:pt>
                <c:pt idx="14">
                  <c:v>5.7233585991227857E-3</c:v>
                </c:pt>
                <c:pt idx="15">
                  <c:v>6.0850828396202912E-3</c:v>
                </c:pt>
                <c:pt idx="16">
                  <c:v>5.4635810807231065E-3</c:v>
                </c:pt>
                <c:pt idx="17">
                  <c:v>5.8295063107723991E-3</c:v>
                </c:pt>
                <c:pt idx="18">
                  <c:v>5.7017857239690288E-3</c:v>
                </c:pt>
                <c:pt idx="19">
                  <c:v>5.9767177156282245E-3</c:v>
                </c:pt>
                <c:pt idx="20">
                  <c:v>6.4967612421810341E-3</c:v>
                </c:pt>
                <c:pt idx="21">
                  <c:v>6.2042177260706868E-3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D5-49DE-BA1F-95A1E020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817584"/>
        <c:axId val="463819504"/>
      </c:barChart>
      <c:catAx>
        <c:axId val="4638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819504"/>
        <c:crosses val="autoZero"/>
        <c:auto val="1"/>
        <c:lblAlgn val="ctr"/>
        <c:lblOffset val="100"/>
        <c:noMultiLvlLbl val="0"/>
      </c:catAx>
      <c:valAx>
        <c:axId val="4638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8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pib_pct!$E$1</c:f>
              <c:strCache>
                <c:ptCount val="1"/>
                <c:pt idx="0">
                  <c:v>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pib_pct!$E$2:$E$46</c:f>
              <c:numCache>
                <c:formatCode>0.0</c:formatCode>
                <c:ptCount val="45"/>
                <c:pt idx="0">
                  <c:v>0.984123558856009</c:v>
                </c:pt>
                <c:pt idx="1">
                  <c:v>0.96694058995135912</c:v>
                </c:pt>
                <c:pt idx="2">
                  <c:v>0.9845375518032885</c:v>
                </c:pt>
                <c:pt idx="3">
                  <c:v>1.0803657824503916</c:v>
                </c:pt>
                <c:pt idx="4">
                  <c:v>1.0659804236413886</c:v>
                </c:pt>
                <c:pt idx="5">
                  <c:v>1.0340276439631018</c:v>
                </c:pt>
                <c:pt idx="6">
                  <c:v>1.0911222012345378</c:v>
                </c:pt>
                <c:pt idx="7">
                  <c:v>1.073703737572304</c:v>
                </c:pt>
                <c:pt idx="8">
                  <c:v>1.0793490720251264</c:v>
                </c:pt>
                <c:pt idx="9">
                  <c:v>1.0954328522527246</c:v>
                </c:pt>
                <c:pt idx="10">
                  <c:v>1.0925344139305135</c:v>
                </c:pt>
                <c:pt idx="11">
                  <c:v>1.1375947324101492</c:v>
                </c:pt>
                <c:pt idx="12">
                  <c:v>1.1544630494743193</c:v>
                </c:pt>
                <c:pt idx="13">
                  <c:v>1.2099267007150045</c:v>
                </c:pt>
                <c:pt idx="14">
                  <c:v>1.2161812245499282</c:v>
                </c:pt>
                <c:pt idx="15">
                  <c:v>1.3146108280157316</c:v>
                </c:pt>
                <c:pt idx="16">
                  <c:v>1.2047905026691395</c:v>
                </c:pt>
                <c:pt idx="17">
                  <c:v>1.1604288564469012</c:v>
                </c:pt>
                <c:pt idx="18">
                  <c:v>1.1652435678193824</c:v>
                </c:pt>
                <c:pt idx="19">
                  <c:v>1.1615946837080866</c:v>
                </c:pt>
                <c:pt idx="20">
                  <c:v>1.1704818097944929</c:v>
                </c:pt>
                <c:pt idx="21">
                  <c:v>1.1732313942012917</c:v>
                </c:pt>
                <c:pt idx="22">
                  <c:v>1.2016060457045252</c:v>
                </c:pt>
                <c:pt idx="23">
                  <c:v>1.1900880942709393</c:v>
                </c:pt>
                <c:pt idx="24">
                  <c:v>1.2198831549584011</c:v>
                </c:pt>
                <c:pt idx="25">
                  <c:v>1.2073330075953299</c:v>
                </c:pt>
                <c:pt idx="26">
                  <c:v>1.1855237975088841</c:v>
                </c:pt>
                <c:pt idx="27">
                  <c:v>1.2103977302107438</c:v>
                </c:pt>
                <c:pt idx="28">
                  <c:v>1.2607635906233206</c:v>
                </c:pt>
                <c:pt idx="29">
                  <c:v>1.258254895465365</c:v>
                </c:pt>
                <c:pt idx="30">
                  <c:v>1.2529592985914952</c:v>
                </c:pt>
                <c:pt idx="31">
                  <c:v>1.2819609576343345</c:v>
                </c:pt>
                <c:pt idx="32">
                  <c:v>1.3178692954459461</c:v>
                </c:pt>
                <c:pt idx="33">
                  <c:v>1.3645489772618744</c:v>
                </c:pt>
                <c:pt idx="34">
                  <c:v>1.3447382022352612</c:v>
                </c:pt>
                <c:pt idx="35">
                  <c:v>1.3466870279908463</c:v>
                </c:pt>
                <c:pt idx="36">
                  <c:v>1.4213094729933322</c:v>
                </c:pt>
                <c:pt idx="37">
                  <c:v>1.4293935358742846</c:v>
                </c:pt>
                <c:pt idx="38">
                  <c:v>1.3362516258418293</c:v>
                </c:pt>
                <c:pt idx="39">
                  <c:v>1.3403144370694025</c:v>
                </c:pt>
                <c:pt idx="40">
                  <c:v>1.4091418544893504</c:v>
                </c:pt>
                <c:pt idx="41">
                  <c:v>1.3505270298407654</c:v>
                </c:pt>
                <c:pt idx="42">
                  <c:v>1.3392141338083279</c:v>
                </c:pt>
                <c:pt idx="43">
                  <c:v>1.3484113994002489</c:v>
                </c:pt>
                <c:pt idx="44">
                  <c:v>1.3523295016703305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A-40DA-AEE8-0A0F1EAC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862471"/>
        <c:axId val="396864519"/>
      </c:lineChart>
      <c:catAx>
        <c:axId val="396862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64519"/>
        <c:crosses val="autoZero"/>
        <c:auto val="1"/>
        <c:lblAlgn val="ctr"/>
        <c:lblOffset val="100"/>
        <c:noMultiLvlLbl val="0"/>
      </c:catAx>
      <c:valAx>
        <c:axId val="396864519"/>
        <c:scaling>
          <c:orientation val="minMax"/>
          <c:max val="1.4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6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terc_det!$B$1</c:f>
              <c:strCache>
                <c:ptCount val="1"/>
                <c:pt idx="0">
                  <c:v>Comercio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terc_det!$B$2:$B$23</c:f>
              <c:numCache>
                <c:formatCode>0.00%</c:formatCode>
                <c:ptCount val="22"/>
                <c:pt idx="0">
                  <c:v>0.16480042747196386</c:v>
                </c:pt>
                <c:pt idx="1">
                  <c:v>0.16841060713534306</c:v>
                </c:pt>
                <c:pt idx="2">
                  <c:v>0.16969942224073339</c:v>
                </c:pt>
                <c:pt idx="3">
                  <c:v>0.17056334812944446</c:v>
                </c:pt>
                <c:pt idx="4">
                  <c:v>0.17102105829720068</c:v>
                </c:pt>
                <c:pt idx="5">
                  <c:v>0.17274043181420276</c:v>
                </c:pt>
                <c:pt idx="6">
                  <c:v>0.1588199654788762</c:v>
                </c:pt>
                <c:pt idx="7">
                  <c:v>0.16853448037125673</c:v>
                </c:pt>
                <c:pt idx="8">
                  <c:v>0.17517768838644787</c:v>
                </c:pt>
                <c:pt idx="9">
                  <c:v>0.17873264355641344</c:v>
                </c:pt>
                <c:pt idx="10">
                  <c:v>0.17681494958315114</c:v>
                </c:pt>
                <c:pt idx="11">
                  <c:v>0.18004796522703798</c:v>
                </c:pt>
                <c:pt idx="12">
                  <c:v>0.17614058816705166</c:v>
                </c:pt>
                <c:pt idx="13">
                  <c:v>0.17657291227213839</c:v>
                </c:pt>
                <c:pt idx="14">
                  <c:v>0.17214077225254171</c:v>
                </c:pt>
                <c:pt idx="15">
                  <c:v>0.16569847394491422</c:v>
                </c:pt>
                <c:pt idx="16">
                  <c:v>0.16158424089247042</c:v>
                </c:pt>
                <c:pt idx="17">
                  <c:v>0.16586151091163415</c:v>
                </c:pt>
                <c:pt idx="18">
                  <c:v>0.16693084063024033</c:v>
                </c:pt>
                <c:pt idx="19">
                  <c:v>0.17283711930932069</c:v>
                </c:pt>
                <c:pt idx="20">
                  <c:v>0.17514774872676378</c:v>
                </c:pt>
                <c:pt idx="21">
                  <c:v>0.17332824015084713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0-4360-BA2E-1BBA8A34A338}"/>
            </c:ext>
          </c:extLst>
        </c:ser>
        <c:ser>
          <c:idx val="1"/>
          <c:order val="1"/>
          <c:tx>
            <c:strRef>
              <c:f>terc_det!$C$1</c:f>
              <c:strCache>
                <c:ptCount val="1"/>
                <c:pt idx="0">
                  <c:v>Logística y transporte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terc_det!$C$2:$C$23</c:f>
              <c:numCache>
                <c:formatCode>0.00%</c:formatCode>
                <c:ptCount val="22"/>
                <c:pt idx="0">
                  <c:v>7.5629733816435993E-2</c:v>
                </c:pt>
                <c:pt idx="1">
                  <c:v>7.8449126197903216E-2</c:v>
                </c:pt>
                <c:pt idx="2">
                  <c:v>7.7945248462962108E-2</c:v>
                </c:pt>
                <c:pt idx="3">
                  <c:v>7.6179840533337137E-2</c:v>
                </c:pt>
                <c:pt idx="4">
                  <c:v>7.5874778159413875E-2</c:v>
                </c:pt>
                <c:pt idx="5">
                  <c:v>7.5090800471625779E-2</c:v>
                </c:pt>
                <c:pt idx="6">
                  <c:v>7.2756666059066957E-2</c:v>
                </c:pt>
                <c:pt idx="7">
                  <c:v>7.5045659980382512E-2</c:v>
                </c:pt>
                <c:pt idx="8">
                  <c:v>7.7181777023167225E-2</c:v>
                </c:pt>
                <c:pt idx="9">
                  <c:v>7.9684716606414463E-2</c:v>
                </c:pt>
                <c:pt idx="10">
                  <c:v>8.1466737862882971E-2</c:v>
                </c:pt>
                <c:pt idx="11">
                  <c:v>8.3366420568130761E-2</c:v>
                </c:pt>
                <c:pt idx="12">
                  <c:v>8.5121952361567305E-2</c:v>
                </c:pt>
                <c:pt idx="13">
                  <c:v>8.6173215503251632E-2</c:v>
                </c:pt>
                <c:pt idx="14">
                  <c:v>8.8526394818077322E-2</c:v>
                </c:pt>
                <c:pt idx="15">
                  <c:v>8.6498914825137024E-2</c:v>
                </c:pt>
                <c:pt idx="16">
                  <c:v>8.5994624566613553E-2</c:v>
                </c:pt>
                <c:pt idx="17">
                  <c:v>8.3049565738252284E-2</c:v>
                </c:pt>
                <c:pt idx="18">
                  <c:v>8.818150188960594E-2</c:v>
                </c:pt>
                <c:pt idx="19">
                  <c:v>9.3511705488209071E-2</c:v>
                </c:pt>
                <c:pt idx="20">
                  <c:v>9.3927329466035422E-2</c:v>
                </c:pt>
                <c:pt idx="21">
                  <c:v>9.408242585221295E-2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0-4360-BA2E-1BBA8A34A338}"/>
            </c:ext>
          </c:extLst>
        </c:ser>
        <c:ser>
          <c:idx val="2"/>
          <c:order val="2"/>
          <c:tx>
            <c:strRef>
              <c:f>terc_det!$D$1</c:f>
              <c:strCache>
                <c:ptCount val="1"/>
                <c:pt idx="0">
                  <c:v>Servicios empresariales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terc_det!$D$2:$D$23</c:f>
              <c:numCache>
                <c:formatCode>0.00%</c:formatCode>
                <c:ptCount val="22"/>
                <c:pt idx="0">
                  <c:v>7.9238557337423299E-2</c:v>
                </c:pt>
                <c:pt idx="1">
                  <c:v>8.122861119349821E-2</c:v>
                </c:pt>
                <c:pt idx="2">
                  <c:v>8.0061609366433195E-2</c:v>
                </c:pt>
                <c:pt idx="3">
                  <c:v>8.3179443627790756E-2</c:v>
                </c:pt>
                <c:pt idx="4">
                  <c:v>8.9465962367115681E-2</c:v>
                </c:pt>
                <c:pt idx="5">
                  <c:v>9.3742266535420407E-2</c:v>
                </c:pt>
                <c:pt idx="6">
                  <c:v>0.10119398486895595</c:v>
                </c:pt>
                <c:pt idx="7">
                  <c:v>9.9842635318970141E-2</c:v>
                </c:pt>
                <c:pt idx="8">
                  <c:v>0.10169347975152429</c:v>
                </c:pt>
                <c:pt idx="9">
                  <c:v>0.10214155439484982</c:v>
                </c:pt>
                <c:pt idx="10">
                  <c:v>0.1084722124811963</c:v>
                </c:pt>
                <c:pt idx="11">
                  <c:v>0.10604522965702766</c:v>
                </c:pt>
                <c:pt idx="12">
                  <c:v>0.10970956337342781</c:v>
                </c:pt>
                <c:pt idx="13">
                  <c:v>0.11966175447755154</c:v>
                </c:pt>
                <c:pt idx="14">
                  <c:v>0.12560914385017991</c:v>
                </c:pt>
                <c:pt idx="15">
                  <c:v>0.12526199460407156</c:v>
                </c:pt>
                <c:pt idx="16">
                  <c:v>0.1276102141854201</c:v>
                </c:pt>
                <c:pt idx="17">
                  <c:v>0.13704825625740327</c:v>
                </c:pt>
                <c:pt idx="18">
                  <c:v>0.1198301532345618</c:v>
                </c:pt>
                <c:pt idx="19">
                  <c:v>0.10338513963998547</c:v>
                </c:pt>
                <c:pt idx="20">
                  <c:v>0.10470625422384724</c:v>
                </c:pt>
                <c:pt idx="21">
                  <c:v>0.10839949211249879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60-4360-BA2E-1BBA8A34A338}"/>
            </c:ext>
          </c:extLst>
        </c:ser>
        <c:ser>
          <c:idx val="3"/>
          <c:order val="3"/>
          <c:tx>
            <c:strRef>
              <c:f>terc_det!$E$1</c:f>
              <c:strCache>
                <c:ptCount val="1"/>
                <c:pt idx="0">
                  <c:v>Servicios inmobiliarios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terc_det!$E$2:$E$23</c:f>
              <c:numCache>
                <c:formatCode>0.00%</c:formatCode>
                <c:ptCount val="22"/>
                <c:pt idx="0">
                  <c:v>5.8580648149019608E-2</c:v>
                </c:pt>
                <c:pt idx="1">
                  <c:v>5.953005641623943E-2</c:v>
                </c:pt>
                <c:pt idx="2">
                  <c:v>5.942005880416034E-2</c:v>
                </c:pt>
                <c:pt idx="3">
                  <c:v>5.8613425281283264E-2</c:v>
                </c:pt>
                <c:pt idx="4">
                  <c:v>5.8559025587882757E-2</c:v>
                </c:pt>
                <c:pt idx="5">
                  <c:v>6.0930529762106223E-2</c:v>
                </c:pt>
                <c:pt idx="6">
                  <c:v>6.5255984213818688E-2</c:v>
                </c:pt>
                <c:pt idx="7">
                  <c:v>6.2616756249393238E-2</c:v>
                </c:pt>
                <c:pt idx="8">
                  <c:v>6.2354345592555802E-2</c:v>
                </c:pt>
                <c:pt idx="9">
                  <c:v>6.1992285857028678E-2</c:v>
                </c:pt>
                <c:pt idx="10">
                  <c:v>6.2848388945095396E-2</c:v>
                </c:pt>
                <c:pt idx="11">
                  <c:v>6.255169915743071E-2</c:v>
                </c:pt>
                <c:pt idx="12">
                  <c:v>6.2141241512454794E-2</c:v>
                </c:pt>
                <c:pt idx="13">
                  <c:v>6.3222850968039757E-2</c:v>
                </c:pt>
                <c:pt idx="14">
                  <c:v>6.2162340384182953E-2</c:v>
                </c:pt>
                <c:pt idx="15">
                  <c:v>6.0378246150373502E-2</c:v>
                </c:pt>
                <c:pt idx="16">
                  <c:v>6.17089737885144E-2</c:v>
                </c:pt>
                <c:pt idx="17">
                  <c:v>6.7853921876016715E-2</c:v>
                </c:pt>
                <c:pt idx="18">
                  <c:v>6.7944121864171286E-2</c:v>
                </c:pt>
                <c:pt idx="19">
                  <c:v>6.8699444654230168E-2</c:v>
                </c:pt>
                <c:pt idx="20">
                  <c:v>6.8661433276306541E-2</c:v>
                </c:pt>
                <c:pt idx="21">
                  <c:v>6.6667642073297367E-2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60-4360-BA2E-1BBA8A34A338}"/>
            </c:ext>
          </c:extLst>
        </c:ser>
        <c:ser>
          <c:idx val="4"/>
          <c:order val="4"/>
          <c:tx>
            <c:strRef>
              <c:f>terc_det!$F$1</c:f>
              <c:strCache>
                <c:ptCount val="1"/>
                <c:pt idx="0">
                  <c:v>Servicios sociales y gobierno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terc_det!$F$2:$F$23</c:f>
              <c:numCache>
                <c:formatCode>0.00%</c:formatCode>
                <c:ptCount val="22"/>
                <c:pt idx="0">
                  <c:v>7.3016225252834105E-2</c:v>
                </c:pt>
                <c:pt idx="1">
                  <c:v>7.1139786099001706E-2</c:v>
                </c:pt>
                <c:pt idx="2">
                  <c:v>7.0361250172224277E-2</c:v>
                </c:pt>
                <c:pt idx="3">
                  <c:v>6.6787635693052488E-2</c:v>
                </c:pt>
                <c:pt idx="4">
                  <c:v>6.5121884863785909E-2</c:v>
                </c:pt>
                <c:pt idx="5">
                  <c:v>6.8004462022989196E-2</c:v>
                </c:pt>
                <c:pt idx="6">
                  <c:v>7.4005406479821928E-2</c:v>
                </c:pt>
                <c:pt idx="7">
                  <c:v>7.1224557354404944E-2</c:v>
                </c:pt>
                <c:pt idx="8">
                  <c:v>6.9632446248744873E-2</c:v>
                </c:pt>
                <c:pt idx="9">
                  <c:v>7.023308032210715E-2</c:v>
                </c:pt>
                <c:pt idx="10">
                  <c:v>7.0405195139582211E-2</c:v>
                </c:pt>
                <c:pt idx="11">
                  <c:v>6.7354535694300249E-2</c:v>
                </c:pt>
                <c:pt idx="12">
                  <c:v>6.4880869824303106E-2</c:v>
                </c:pt>
                <c:pt idx="13">
                  <c:v>6.3568834072294966E-2</c:v>
                </c:pt>
                <c:pt idx="14">
                  <c:v>6.3055095104337378E-2</c:v>
                </c:pt>
                <c:pt idx="15">
                  <c:v>6.0691876694730001E-2</c:v>
                </c:pt>
                <c:pt idx="16">
                  <c:v>6.2173036950718158E-2</c:v>
                </c:pt>
                <c:pt idx="17">
                  <c:v>6.7121637471621948E-2</c:v>
                </c:pt>
                <c:pt idx="18">
                  <c:v>6.3566633661280833E-2</c:v>
                </c:pt>
                <c:pt idx="19">
                  <c:v>6.2759713788594337E-2</c:v>
                </c:pt>
                <c:pt idx="20">
                  <c:v>6.2506628480752668E-2</c:v>
                </c:pt>
                <c:pt idx="21">
                  <c:v>6.1404344819548193E-2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0-4360-BA2E-1BBA8A34A338}"/>
            </c:ext>
          </c:extLst>
        </c:ser>
        <c:ser>
          <c:idx val="5"/>
          <c:order val="5"/>
          <c:tx>
            <c:strRef>
              <c:f>terc_det!$G$1</c:f>
              <c:strCache>
                <c:ptCount val="1"/>
                <c:pt idx="0">
                  <c:v>Turismo y servicio personales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terc_det!$A$2:$A$23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terc_det!$G$2:$G$23</c:f>
              <c:numCache>
                <c:formatCode>0.00%</c:formatCode>
                <c:ptCount val="22"/>
                <c:pt idx="0">
                  <c:v>4.6484836591951954E-2</c:v>
                </c:pt>
                <c:pt idx="1">
                  <c:v>4.5468309677214859E-2</c:v>
                </c:pt>
                <c:pt idx="2">
                  <c:v>4.5965893138748132E-2</c:v>
                </c:pt>
                <c:pt idx="3">
                  <c:v>4.4597074783681384E-2</c:v>
                </c:pt>
                <c:pt idx="4">
                  <c:v>4.564216569746371E-2</c:v>
                </c:pt>
                <c:pt idx="5">
                  <c:v>4.3862712716304583E-2</c:v>
                </c:pt>
                <c:pt idx="6">
                  <c:v>4.3289466176862745E-2</c:v>
                </c:pt>
                <c:pt idx="7">
                  <c:v>3.9205513231175305E-2</c:v>
                </c:pt>
                <c:pt idx="8">
                  <c:v>3.7808951036539952E-2</c:v>
                </c:pt>
                <c:pt idx="9">
                  <c:v>3.8912838688858781E-2</c:v>
                </c:pt>
                <c:pt idx="10">
                  <c:v>4.0374082375191793E-2</c:v>
                </c:pt>
                <c:pt idx="11">
                  <c:v>3.7633616132486225E-2</c:v>
                </c:pt>
                <c:pt idx="12">
                  <c:v>3.8380111093068069E-2</c:v>
                </c:pt>
                <c:pt idx="13">
                  <c:v>3.8457519118563856E-2</c:v>
                </c:pt>
                <c:pt idx="14">
                  <c:v>3.7659199533468808E-2</c:v>
                </c:pt>
                <c:pt idx="15">
                  <c:v>3.482863399950771E-2</c:v>
                </c:pt>
                <c:pt idx="16">
                  <c:v>3.4468455848339095E-2</c:v>
                </c:pt>
                <c:pt idx="17">
                  <c:v>2.6282912188889587E-2</c:v>
                </c:pt>
                <c:pt idx="18">
                  <c:v>2.9928445795996975E-2</c:v>
                </c:pt>
                <c:pt idx="19">
                  <c:v>3.2375346541987399E-2</c:v>
                </c:pt>
                <c:pt idx="20">
                  <c:v>3.0290265268277286E-2</c:v>
                </c:pt>
                <c:pt idx="21">
                  <c:v>3.202702283487683E-2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60-4360-BA2E-1BBA8A34A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436704"/>
        <c:axId val="465421344"/>
      </c:barChart>
      <c:catAx>
        <c:axId val="4654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5421344"/>
        <c:crosses val="autoZero"/>
        <c:auto val="1"/>
        <c:lblAlgn val="ctr"/>
        <c:lblOffset val="100"/>
        <c:noMultiLvlLbl val="0"/>
      </c:catAx>
      <c:valAx>
        <c:axId val="4654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54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sobre PIB total, Sector Secundario 1980 –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sec_det!$B$1</c:f>
              <c:strCache>
                <c:ptCount val="1"/>
                <c:pt idx="0">
                  <c:v> Construcción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sec_det!$B$2:$B$23</c:f>
              <c:numCache>
                <c:formatCode>0.00%</c:formatCode>
                <c:ptCount val="22"/>
                <c:pt idx="0">
                  <c:v>4.597589786389028E-2</c:v>
                </c:pt>
                <c:pt idx="1">
                  <c:v>4.8229129114082274E-2</c:v>
                </c:pt>
                <c:pt idx="2">
                  <c:v>5.4889741620417307E-2</c:v>
                </c:pt>
                <c:pt idx="3">
                  <c:v>6.0788292605530439E-2</c:v>
                </c:pt>
                <c:pt idx="4">
                  <c:v>6.974578006323591E-2</c:v>
                </c:pt>
                <c:pt idx="5">
                  <c:v>6.3313464499160338E-2</c:v>
                </c:pt>
                <c:pt idx="6">
                  <c:v>5.7631795475436773E-2</c:v>
                </c:pt>
                <c:pt idx="7">
                  <c:v>6.0423240502093203E-2</c:v>
                </c:pt>
                <c:pt idx="8">
                  <c:v>5.9928468567643355E-2</c:v>
                </c:pt>
                <c:pt idx="9">
                  <c:v>5.4995894456673591E-2</c:v>
                </c:pt>
                <c:pt idx="10">
                  <c:v>5.5187456261407815E-2</c:v>
                </c:pt>
                <c:pt idx="11">
                  <c:v>5.9399335179232578E-2</c:v>
                </c:pt>
                <c:pt idx="12">
                  <c:v>6.5691105430693397E-2</c:v>
                </c:pt>
                <c:pt idx="13">
                  <c:v>5.8123062843950267E-2</c:v>
                </c:pt>
                <c:pt idx="14">
                  <c:v>5.7272889748529329E-2</c:v>
                </c:pt>
                <c:pt idx="15">
                  <c:v>5.9705589147590818E-2</c:v>
                </c:pt>
                <c:pt idx="16">
                  <c:v>5.8749038420651059E-2</c:v>
                </c:pt>
                <c:pt idx="17">
                  <c:v>5.727616623609838E-2</c:v>
                </c:pt>
                <c:pt idx="18">
                  <c:v>5.5048029432218093E-2</c:v>
                </c:pt>
                <c:pt idx="19">
                  <c:v>4.8930060181226628E-2</c:v>
                </c:pt>
                <c:pt idx="20">
                  <c:v>4.7936875542832949E-2</c:v>
                </c:pt>
                <c:pt idx="21">
                  <c:v>5.6999563977216623E-2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A-44F4-B018-CD8BF1BDB81B}"/>
            </c:ext>
          </c:extLst>
        </c:ser>
        <c:ser>
          <c:idx val="1"/>
          <c:order val="1"/>
          <c:tx>
            <c:strRef>
              <c:f>sec_det!$C$1</c:f>
              <c:strCache>
                <c:ptCount val="1"/>
                <c:pt idx="0">
                  <c:v> Generación, transmisión, distribución y comercialización de energía eléctrica, suministro de agua y de gas natural por ductos al consumidor final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sec_det!$C$2:$C$23</c:f>
              <c:numCache>
                <c:formatCode>0.00%</c:formatCode>
                <c:ptCount val="22"/>
                <c:pt idx="0">
                  <c:v>1.2826860398401311E-2</c:v>
                </c:pt>
                <c:pt idx="1">
                  <c:v>1.2625129188777454E-2</c:v>
                </c:pt>
                <c:pt idx="2">
                  <c:v>1.279234949551609E-2</c:v>
                </c:pt>
                <c:pt idx="3">
                  <c:v>1.4821666887915235E-2</c:v>
                </c:pt>
                <c:pt idx="4">
                  <c:v>1.4180386370153803E-2</c:v>
                </c:pt>
                <c:pt idx="5">
                  <c:v>1.6008310853075636E-2</c:v>
                </c:pt>
                <c:pt idx="6">
                  <c:v>1.6970367159013872E-2</c:v>
                </c:pt>
                <c:pt idx="7">
                  <c:v>1.6039912619262037E-2</c:v>
                </c:pt>
                <c:pt idx="8">
                  <c:v>1.7790919557845824E-2</c:v>
                </c:pt>
                <c:pt idx="9">
                  <c:v>1.7746516305077335E-2</c:v>
                </c:pt>
                <c:pt idx="10">
                  <c:v>1.7548065717440539E-2</c:v>
                </c:pt>
                <c:pt idx="11">
                  <c:v>1.751338996475868E-2</c:v>
                </c:pt>
                <c:pt idx="12">
                  <c:v>1.8230180784833756E-2</c:v>
                </c:pt>
                <c:pt idx="13">
                  <c:v>1.7558362288106439E-2</c:v>
                </c:pt>
                <c:pt idx="14">
                  <c:v>1.649281746467833E-2</c:v>
                </c:pt>
                <c:pt idx="15">
                  <c:v>1.7804935739404781E-2</c:v>
                </c:pt>
                <c:pt idx="16">
                  <c:v>1.8295877888929286E-2</c:v>
                </c:pt>
                <c:pt idx="17">
                  <c:v>1.5666873324979517E-2</c:v>
                </c:pt>
                <c:pt idx="18">
                  <c:v>1.3969850698605698E-2</c:v>
                </c:pt>
                <c:pt idx="19">
                  <c:v>1.2125858912262581E-2</c:v>
                </c:pt>
                <c:pt idx="20">
                  <c:v>1.2427131401210845E-2</c:v>
                </c:pt>
                <c:pt idx="21">
                  <c:v>1.1639365835236641E-2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A-44F4-B018-CD8BF1BDB81B}"/>
            </c:ext>
          </c:extLst>
        </c:ser>
        <c:ser>
          <c:idx val="2"/>
          <c:order val="2"/>
          <c:tx>
            <c:strRef>
              <c:f>sec_det!$D$1</c:f>
              <c:strCache>
                <c:ptCount val="1"/>
                <c:pt idx="0">
                  <c:v> Industrias manufactureras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sec_det!$D$2:$D$23</c:f>
              <c:numCache>
                <c:formatCode>0.00%</c:formatCode>
                <c:ptCount val="22"/>
                <c:pt idx="0">
                  <c:v>0.35045693309119302</c:v>
                </c:pt>
                <c:pt idx="1">
                  <c:v>0.34363482234865417</c:v>
                </c:pt>
                <c:pt idx="2">
                  <c:v>0.3401614231832375</c:v>
                </c:pt>
                <c:pt idx="3">
                  <c:v>0.33793851693385935</c:v>
                </c:pt>
                <c:pt idx="4">
                  <c:v>0.32565309671807929</c:v>
                </c:pt>
                <c:pt idx="5">
                  <c:v>0.3208831591740135</c:v>
                </c:pt>
                <c:pt idx="6">
                  <c:v>0.32562037570605118</c:v>
                </c:pt>
                <c:pt idx="7">
                  <c:v>0.32641142114047822</c:v>
                </c:pt>
                <c:pt idx="8">
                  <c:v>0.32224411282221693</c:v>
                </c:pt>
                <c:pt idx="9">
                  <c:v>0.32287885142998235</c:v>
                </c:pt>
                <c:pt idx="10">
                  <c:v>0.3144057391610392</c:v>
                </c:pt>
                <c:pt idx="11">
                  <c:v>0.31400319674077648</c:v>
                </c:pt>
                <c:pt idx="12">
                  <c:v>0.30589519018285388</c:v>
                </c:pt>
                <c:pt idx="13">
                  <c:v>0.30295979178794458</c:v>
                </c:pt>
                <c:pt idx="14">
                  <c:v>0.30469690688195644</c:v>
                </c:pt>
                <c:pt idx="15">
                  <c:v>0.31554938106449004</c:v>
                </c:pt>
                <c:pt idx="16">
                  <c:v>0.31556193405163491</c:v>
                </c:pt>
                <c:pt idx="17">
                  <c:v>0.30956153327032432</c:v>
                </c:pt>
                <c:pt idx="18">
                  <c:v>0.32244505963692832</c:v>
                </c:pt>
                <c:pt idx="19">
                  <c:v>0.33138644790067173</c:v>
                </c:pt>
                <c:pt idx="20">
                  <c:v>0.33008015034950444</c:v>
                </c:pt>
                <c:pt idx="21">
                  <c:v>0.32144279252368196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A-44F4-B018-CD8BF1BDB81B}"/>
            </c:ext>
          </c:extLst>
        </c:ser>
        <c:ser>
          <c:idx val="3"/>
          <c:order val="3"/>
          <c:tx>
            <c:strRef>
              <c:f>sec_det!$E$1</c:f>
              <c:strCache>
                <c:ptCount val="1"/>
                <c:pt idx="0">
                  <c:v> Minería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sec_det!$A$2:$A$23</c:f>
              <c:strCach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sec_det!$E$2:$E$23</c:f>
              <c:numCache>
                <c:formatCode>0.00%</c:formatCode>
                <c:ptCount val="22"/>
                <c:pt idx="0">
                  <c:v>8.9870174538630061E-3</c:v>
                </c:pt>
                <c:pt idx="1">
                  <c:v>8.850913978049664E-3</c:v>
                </c:pt>
                <c:pt idx="2">
                  <c:v>9.15285622829453E-3</c:v>
                </c:pt>
                <c:pt idx="3">
                  <c:v>8.1391936971263682E-3</c:v>
                </c:pt>
                <c:pt idx="4">
                  <c:v>8.2047943953154068E-3</c:v>
                </c:pt>
                <c:pt idx="5">
                  <c:v>7.7789310835943834E-3</c:v>
                </c:pt>
                <c:pt idx="6">
                  <c:v>9.3299896365985589E-3</c:v>
                </c:pt>
                <c:pt idx="7">
                  <c:v>9.3252498554929047E-3</c:v>
                </c:pt>
                <c:pt idx="8">
                  <c:v>8.6672650045298717E-3</c:v>
                </c:pt>
                <c:pt idx="9">
                  <c:v>7.8308261625631877E-3</c:v>
                </c:pt>
                <c:pt idx="10">
                  <c:v>8.8735213206425044E-3</c:v>
                </c:pt>
                <c:pt idx="11">
                  <c:v>8.4179153958257938E-3</c:v>
                </c:pt>
                <c:pt idx="12">
                  <c:v>8.4752685901350495E-3</c:v>
                </c:pt>
                <c:pt idx="13">
                  <c:v>6.6774605517341754E-3</c:v>
                </c:pt>
                <c:pt idx="14">
                  <c:v>5.7233585991227857E-3</c:v>
                </c:pt>
                <c:pt idx="15">
                  <c:v>6.0850828396202912E-3</c:v>
                </c:pt>
                <c:pt idx="16">
                  <c:v>5.4635810807231065E-3</c:v>
                </c:pt>
                <c:pt idx="17">
                  <c:v>5.8295063107723991E-3</c:v>
                </c:pt>
                <c:pt idx="18">
                  <c:v>5.7017857239690288E-3</c:v>
                </c:pt>
                <c:pt idx="19">
                  <c:v>5.9767177156282245E-3</c:v>
                </c:pt>
                <c:pt idx="20">
                  <c:v>6.4967612421810341E-3</c:v>
                </c:pt>
                <c:pt idx="21">
                  <c:v>6.2042177260706868E-3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FA-44F4-B018-CD8BF1BD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817584"/>
        <c:axId val="463819504"/>
      </c:barChart>
      <c:catAx>
        <c:axId val="4638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819504"/>
        <c:crosses val="autoZero"/>
        <c:auto val="1"/>
        <c:lblAlgn val="ctr"/>
        <c:lblOffset val="100"/>
        <c:noMultiLvlLbl val="0"/>
      </c:catAx>
      <c:valAx>
        <c:axId val="4638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8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787964</xdr:colOff>
      <xdr:row>0</xdr:row>
      <xdr:rowOff>179445</xdr:rowOff>
    </xdr:from>
    <xdr:to>
      <xdr:col>8</xdr:col>
      <xdr:colOff>3458</xdr:colOff>
      <xdr:row>21</xdr:row>
      <xdr:rowOff>96013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50BABE-EF9B-49CB-AA21-CB984D48E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783462</xdr:colOff>
      <xdr:row>1</xdr:row>
      <xdr:rowOff>1907</xdr:rowOff>
    </xdr:from>
    <xdr:to>
      <xdr:col>18</xdr:col>
      <xdr:colOff>667554</xdr:colOff>
      <xdr:row>20</xdr:row>
      <xdr:rowOff>174977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057BAB-E0D3-4B30-9829-D7C4D1829637}"/>
            </a:ext>
            <a:ext uri="{147F2762-F138-4A5C-976F-8EAC2B608ADB}">
              <a16:predDERef xmlns:a16="http://schemas.microsoft.com/office/drawing/2014/main" pred="{3650BABE-EF9B-49CB-AA21-CB984D48E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2001</xdr:colOff>
      <xdr:row>0</xdr:row>
      <xdr:rowOff>157738</xdr:rowOff>
    </xdr:from>
    <xdr:to>
      <xdr:col>30</xdr:col>
      <xdr:colOff>110384</xdr:colOff>
      <xdr:row>20</xdr:row>
      <xdr:rowOff>81840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E7D8EA-6112-4F98-9E03-EC4A8A300127}"/>
            </a:ext>
            <a:ext uri="{147F2762-F138-4A5C-976F-8EAC2B608ADB}">
              <a16:predDERef xmlns:a16="http://schemas.microsoft.com/office/drawing/2014/main" pred="{E0057BAB-E0D3-4B30-9829-D7C4D1829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</xdr:row>
      <xdr:rowOff>0</xdr:rowOff>
    </xdr:from>
    <xdr:to>
      <xdr:col>13</xdr:col>
      <xdr:colOff>161925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C6503-BEDC-5155-E62D-7AE337770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782954</xdr:colOff>
      <xdr:row>2</xdr:row>
      <xdr:rowOff>12382</xdr:rowOff>
    </xdr:from>
    <xdr:to>
      <xdr:col>17</xdr:col>
      <xdr:colOff>678180</xdr:colOff>
      <xdr:row>22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6A1F01-B0AB-03C4-63F1-0B659F5CF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1</xdr:row>
      <xdr:rowOff>39051</xdr:rowOff>
    </xdr:from>
    <xdr:to>
      <xdr:col>15</xdr:col>
      <xdr:colOff>443865</xdr:colOff>
      <xdr:row>24</xdr:row>
      <xdr:rowOff>22859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97D4F2-EC4D-BEA0-F6F2-4F7C9596C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61.540375231481" createdVersion="8" refreshedVersion="8" minRefreshableVersion="3" recordCount="440" xr:uid="{3A82C5CB-6386-422D-9971-12C6C77ECEE7}">
  <cacheSource type="worksheet">
    <worksheetSource name="PIB_ACTIVIDADES"/>
  </cacheSource>
  <cacheFields count="8">
    <cacheField name="Código" numFmtId="0">
      <sharedItems/>
    </cacheField>
    <cacheField name="Sector" numFmtId="0">
      <sharedItems count="20">
        <s v=" Agricultura, cría y explotación de animales, aprovechamiento forestal, pesca y caza"/>
        <s v=" Minería"/>
        <s v=" Generación, transmisión, distribución y comercialización de energía eléctrica, suministro de agua y de gas natural por ductos al consumidor final"/>
        <s v=" Construcción"/>
        <s v=" Industrias manufactureras"/>
        <s v=" Comercio al por mayor"/>
        <s v=" Comercio al por menor"/>
        <s v=" Transportes, correos y almacenamiento"/>
        <s v=" Información en medios masivos"/>
        <s v=" Servicios financieros y de seguros"/>
        <s v=" Servicios inmobiliarios y de alquiler de bienes muebles e intangibles"/>
        <s v=" Servicios profesionales, científicos y técnicos"/>
        <s v=" Corporativos"/>
        <s v=" Servicios de apoyo a los negocios y manejo de residuos, y servicios de remediación"/>
        <s v=" Servicios educativos"/>
        <s v=" Servicios de salud y de asistencia social"/>
        <s v=" Servicios de esparcimiento culturales y deportivos, y otros servicios recreativos"/>
        <s v=" Servicios de alojamiento temporal y de preparación de alimentos y bebidas"/>
        <s v=" Otros servicios excepto actividades gubernamentales"/>
        <s v=" Actividades legislativas, gubernamentales, de impartición de justicia y de organismos internacionales y extraterritoriales"/>
      </sharedItems>
    </cacheField>
    <cacheField name="Actividad" numFmtId="0">
      <sharedItems count="3">
        <s v="Actividades Primarias"/>
        <s v="Actividades Secundarias"/>
        <s v="Actividades Terciarias"/>
      </sharedItems>
    </cacheField>
    <cacheField name="Grupo terciario" numFmtId="0">
      <sharedItems containsBlank="1" count="7">
        <m/>
        <s v="Comercio"/>
        <s v="Logística y transporte"/>
        <s v="Servicios empresariales"/>
        <s v="Servicios inmobiliarios"/>
        <s v="Servicios sociales y gobierno"/>
        <s v="Turismo y servicio personales"/>
      </sharedItems>
    </cacheField>
    <cacheField name="Año" numFmtId="0">
      <sharedItems count="22"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PIB" numFmtId="0">
      <sharedItems containsSemiMixedTypes="0" containsString="0" containsNumber="1" minValue="6986.4040000000005" maxValue="662170.72699999996"/>
    </cacheField>
    <cacheField name="PIB TOTAL" numFmtId="0">
      <sharedItems containsSemiMixedTypes="0" containsString="0" containsNumber="1" minValue="1289662.122" maxValue="2059995.5649999999"/>
    </cacheField>
    <cacheField name="Participacion" numFmtId="10">
      <sharedItems containsSemiMixedTypes="0" containsString="0" containsNumber="1" minValue="4.47007272583944E-3" maxValue="0.350456933091193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s v="11 "/>
    <x v="0"/>
    <x v="0"/>
    <x v="0"/>
    <x v="0"/>
    <n v="11260.127"/>
    <n v="1289662.122"/>
    <n v="8.7310674694685651E-3"/>
  </r>
  <r>
    <s v="21 "/>
    <x v="1"/>
    <x v="1"/>
    <x v="0"/>
    <x v="0"/>
    <n v="11590.216"/>
    <n v="1289662.122"/>
    <n v="8.9870174538630061E-3"/>
  </r>
  <r>
    <s v="11 "/>
    <x v="0"/>
    <x v="0"/>
    <x v="0"/>
    <x v="1"/>
    <n v="10348.764999999999"/>
    <n v="1335507.8389999999"/>
    <n v="7.7489361707894847E-3"/>
  </r>
  <r>
    <s v="11 "/>
    <x v="0"/>
    <x v="0"/>
    <x v="0"/>
    <x v="2"/>
    <n v="9649.5329999999994"/>
    <n v="1368861.9909999999"/>
    <n v="7.0493103493586597E-3"/>
  </r>
  <r>
    <s v="11 "/>
    <x v="0"/>
    <x v="0"/>
    <x v="0"/>
    <x v="3"/>
    <n v="9426.8179999999993"/>
    <n v="1469583.898"/>
    <n v="6.4146170986421622E-3"/>
  </r>
  <r>
    <s v="11 "/>
    <x v="0"/>
    <x v="0"/>
    <x v="0"/>
    <x v="4"/>
    <n v="10348.043"/>
    <n v="1532409.5149999999"/>
    <n v="6.7527921868848484E-3"/>
  </r>
  <r>
    <s v="11 "/>
    <x v="0"/>
    <x v="0"/>
    <x v="0"/>
    <x v="5"/>
    <n v="9707.6460000000006"/>
    <n v="1531655.04"/>
    <n v="6.3380106789581031E-3"/>
  </r>
  <r>
    <s v="11 "/>
    <x v="0"/>
    <x v="0"/>
    <x v="0"/>
    <x v="6"/>
    <n v="10150.258"/>
    <n v="1411038.652"/>
    <n v="7.1934655975674855E-3"/>
  </r>
  <r>
    <s v="11 "/>
    <x v="0"/>
    <x v="0"/>
    <x v="0"/>
    <x v="7"/>
    <n v="10616.776"/>
    <n v="1509564.2709999999"/>
    <n v="7.0330069437633111E-3"/>
  </r>
  <r>
    <s v="11 "/>
    <x v="0"/>
    <x v="0"/>
    <x v="0"/>
    <x v="8"/>
    <n v="9489.0930000000008"/>
    <n v="1558834.9950000001"/>
    <n v="6.0872979054463682E-3"/>
  </r>
  <r>
    <s v="11 "/>
    <x v="0"/>
    <x v="0"/>
    <x v="0"/>
    <x v="9"/>
    <n v="9890.6149999999998"/>
    <n v="1621930.2709999999"/>
    <n v="6.0980519180408093E-3"/>
  </r>
  <r>
    <s v="11 "/>
    <x v="0"/>
    <x v="0"/>
    <x v="0"/>
    <x v="10"/>
    <n v="9741.9639999999999"/>
    <n v="1611568.7879999999"/>
    <n v="6.0450190352036035E-3"/>
  </r>
  <r>
    <s v="11 "/>
    <x v="0"/>
    <x v="0"/>
    <x v="0"/>
    <x v="11"/>
    <n v="9918.2970000000005"/>
    <n v="1666974.7009999999"/>
    <n v="5.9498785398783335E-3"/>
  </r>
  <r>
    <s v="11 "/>
    <x v="0"/>
    <x v="0"/>
    <x v="0"/>
    <x v="12"/>
    <n v="9215.7270000000008"/>
    <n v="1728163.9920000001"/>
    <n v="5.3326692620962795E-3"/>
  </r>
  <r>
    <s v="11 "/>
    <x v="0"/>
    <x v="0"/>
    <x v="0"/>
    <x v="13"/>
    <n v="8444.3469999999998"/>
    <n v="1743960.8829999999"/>
    <n v="4.8420506917986874E-3"/>
  </r>
  <r>
    <s v="11 "/>
    <x v="0"/>
    <x v="0"/>
    <x v="0"/>
    <x v="14"/>
    <n v="8499.7420000000002"/>
    <n v="1809343.5560000001"/>
    <n v="4.6976937971861879E-3"/>
  </r>
  <r>
    <s v="11 "/>
    <x v="0"/>
    <x v="0"/>
    <x v="0"/>
    <x v="15"/>
    <n v="8533.4869999999992"/>
    <n v="1909026.4350000001"/>
    <n v="4.47007272583944E-3"/>
  </r>
  <r>
    <s v="11 "/>
    <x v="0"/>
    <x v="0"/>
    <x v="0"/>
    <x v="16"/>
    <n v="9383.7450000000008"/>
    <n v="1918825.0060000001"/>
    <n v="4.8903599706371561E-3"/>
  </r>
  <r>
    <s v="11 "/>
    <x v="0"/>
    <x v="0"/>
    <x v="0"/>
    <x v="17"/>
    <n v="9321.4390000000003"/>
    <n v="1743165.6229999999"/>
    <n v="5.3474201630696111E-3"/>
  </r>
  <r>
    <s v="11 "/>
    <x v="0"/>
    <x v="0"/>
    <x v="0"/>
    <x v="18"/>
    <n v="9069.9770000000008"/>
    <n v="1865875.274"/>
    <n v="4.8609771115922943E-3"/>
  </r>
  <r>
    <s v="11 "/>
    <x v="0"/>
    <x v="0"/>
    <x v="0"/>
    <x v="19"/>
    <n v="9313.7250000000004"/>
    <n v="1928658.429"/>
    <n v="4.8291210407999108E-3"/>
  </r>
  <r>
    <s v="11 "/>
    <x v="0"/>
    <x v="0"/>
    <x v="0"/>
    <x v="20"/>
    <n v="9312.4320000000007"/>
    <n v="1991519.7"/>
    <n v="4.6760431242533033E-3"/>
  </r>
  <r>
    <s v="11 "/>
    <x v="0"/>
    <x v="0"/>
    <x v="0"/>
    <x v="21"/>
    <n v="9516.2569999999996"/>
    <n v="2059995.5649999999"/>
    <n v="4.6195521785018989E-3"/>
  </r>
  <r>
    <s v="21 "/>
    <x v="1"/>
    <x v="1"/>
    <x v="0"/>
    <x v="1"/>
    <n v="11820.465"/>
    <n v="1335507.8389999999"/>
    <n v="8.850913978049664E-3"/>
  </r>
  <r>
    <s v="21 "/>
    <x v="1"/>
    <x v="1"/>
    <x v="0"/>
    <x v="2"/>
    <n v="12528.996999999999"/>
    <n v="1368861.9909999999"/>
    <n v="9.15285622829453E-3"/>
  </r>
  <r>
    <s v="21 "/>
    <x v="1"/>
    <x v="1"/>
    <x v="0"/>
    <x v="3"/>
    <n v="11961.227999999999"/>
    <n v="1469583.898"/>
    <n v="8.1391936971263682E-3"/>
  </r>
  <r>
    <s v="21 "/>
    <x v="1"/>
    <x v="1"/>
    <x v="0"/>
    <x v="4"/>
    <n v="12573.105"/>
    <n v="1532409.5149999999"/>
    <n v="8.2047943953154068E-3"/>
  </r>
  <r>
    <s v="21 "/>
    <x v="1"/>
    <x v="1"/>
    <x v="0"/>
    <x v="5"/>
    <n v="11914.638999999999"/>
    <n v="1531655.04"/>
    <n v="7.7789310835943834E-3"/>
  </r>
  <r>
    <s v="21 "/>
    <x v="1"/>
    <x v="1"/>
    <x v="0"/>
    <x v="6"/>
    <n v="13164.976000000001"/>
    <n v="1411038.652"/>
    <n v="9.3299896365985589E-3"/>
  </r>
  <r>
    <s v="21 "/>
    <x v="1"/>
    <x v="1"/>
    <x v="0"/>
    <x v="7"/>
    <n v="14077.064"/>
    <n v="1509564.2709999999"/>
    <n v="9.3252498554929047E-3"/>
  </r>
  <r>
    <s v="21 "/>
    <x v="1"/>
    <x v="1"/>
    <x v="0"/>
    <x v="8"/>
    <n v="13510.835999999999"/>
    <n v="1558834.9950000001"/>
    <n v="8.6672650045298717E-3"/>
  </r>
  <r>
    <s v="21 "/>
    <x v="1"/>
    <x v="1"/>
    <x v="0"/>
    <x v="9"/>
    <n v="12701.054"/>
    <n v="1621930.2709999999"/>
    <n v="7.8308261625631877E-3"/>
  </r>
  <r>
    <s v="21 "/>
    <x v="1"/>
    <x v="1"/>
    <x v="0"/>
    <x v="10"/>
    <n v="14300.29"/>
    <n v="1611568.7879999999"/>
    <n v="8.8735213206425044E-3"/>
  </r>
  <r>
    <s v="21 "/>
    <x v="1"/>
    <x v="1"/>
    <x v="0"/>
    <x v="11"/>
    <n v="14032.451999999999"/>
    <n v="1666974.7009999999"/>
    <n v="8.4179153958257938E-3"/>
  </r>
  <r>
    <s v="21 "/>
    <x v="1"/>
    <x v="1"/>
    <x v="0"/>
    <x v="12"/>
    <n v="14646.654"/>
    <n v="1728163.9920000001"/>
    <n v="8.4752685901350495E-3"/>
  </r>
  <r>
    <s v="21 "/>
    <x v="1"/>
    <x v="1"/>
    <x v="0"/>
    <x v="13"/>
    <n v="11645.23"/>
    <n v="1743960.8829999999"/>
    <n v="6.6774605517341754E-3"/>
  </r>
  <r>
    <s v="21 "/>
    <x v="1"/>
    <x v="1"/>
    <x v="0"/>
    <x v="14"/>
    <n v="10355.522000000001"/>
    <n v="1809343.5560000001"/>
    <n v="5.7233585991227857E-3"/>
  </r>
  <r>
    <s v="21 "/>
    <x v="1"/>
    <x v="1"/>
    <x v="0"/>
    <x v="15"/>
    <n v="11616.584000000001"/>
    <n v="1909026.4350000001"/>
    <n v="6.0850828396202912E-3"/>
  </r>
  <r>
    <s v="21 "/>
    <x v="1"/>
    <x v="1"/>
    <x v="0"/>
    <x v="16"/>
    <n v="10483.656000000001"/>
    <n v="1918825.0060000001"/>
    <n v="5.4635810807231065E-3"/>
  </r>
  <r>
    <s v="21 "/>
    <x v="1"/>
    <x v="1"/>
    <x v="0"/>
    <x v="17"/>
    <n v="10161.795"/>
    <n v="1743165.6229999999"/>
    <n v="5.8295063107723991E-3"/>
  </r>
  <r>
    <s v="21 "/>
    <x v="1"/>
    <x v="1"/>
    <x v="0"/>
    <x v="18"/>
    <n v="10638.821"/>
    <n v="1865875.274"/>
    <n v="5.7017857239690288E-3"/>
  </r>
  <r>
    <s v="21 "/>
    <x v="1"/>
    <x v="1"/>
    <x v="0"/>
    <x v="19"/>
    <n v="11527.047"/>
    <n v="1928658.429"/>
    <n v="5.9767177156282245E-3"/>
  </r>
  <r>
    <s v="21 "/>
    <x v="1"/>
    <x v="1"/>
    <x v="0"/>
    <x v="20"/>
    <n v="12938.428"/>
    <n v="1991519.7"/>
    <n v="6.4967612421810341E-3"/>
  </r>
  <r>
    <s v="21 "/>
    <x v="1"/>
    <x v="1"/>
    <x v="0"/>
    <x v="21"/>
    <n v="12780.661"/>
    <n v="2059995.5649999999"/>
    <n v="6.2042177260706868E-3"/>
  </r>
  <r>
    <s v="22 "/>
    <x v="2"/>
    <x v="1"/>
    <x v="0"/>
    <x v="0"/>
    <n v="16542.315999999999"/>
    <n v="1289662.122"/>
    <n v="1.2826860398401311E-2"/>
  </r>
  <r>
    <s v="22 "/>
    <x v="2"/>
    <x v="1"/>
    <x v="0"/>
    <x v="1"/>
    <n v="16860.958999999999"/>
    <n v="1335507.8389999999"/>
    <n v="1.2625129188777454E-2"/>
  </r>
  <r>
    <s v="22 "/>
    <x v="2"/>
    <x v="1"/>
    <x v="0"/>
    <x v="2"/>
    <n v="17510.960999999999"/>
    <n v="1368861.9909999999"/>
    <n v="1.279234949551609E-2"/>
  </r>
  <r>
    <s v="22 "/>
    <x v="2"/>
    <x v="1"/>
    <x v="0"/>
    <x v="3"/>
    <n v="21781.683000000001"/>
    <n v="1469583.898"/>
    <n v="1.4821666887915235E-2"/>
  </r>
  <r>
    <s v="22 "/>
    <x v="2"/>
    <x v="1"/>
    <x v="0"/>
    <x v="4"/>
    <n v="21730.159"/>
    <n v="1532409.5149999999"/>
    <n v="1.4180386370153803E-2"/>
  </r>
  <r>
    <s v="22 "/>
    <x v="2"/>
    <x v="1"/>
    <x v="0"/>
    <x v="5"/>
    <n v="24519.21"/>
    <n v="1531655.04"/>
    <n v="1.6008310853075636E-2"/>
  </r>
  <r>
    <s v="22 "/>
    <x v="2"/>
    <x v="1"/>
    <x v="0"/>
    <x v="6"/>
    <n v="23945.844000000001"/>
    <n v="1411038.652"/>
    <n v="1.6970367159013872E-2"/>
  </r>
  <r>
    <s v="22 "/>
    <x v="2"/>
    <x v="1"/>
    <x v="0"/>
    <x v="7"/>
    <n v="24213.278999999999"/>
    <n v="1509564.2709999999"/>
    <n v="1.6039912619262037E-2"/>
  </r>
  <r>
    <s v="22 "/>
    <x v="2"/>
    <x v="1"/>
    <x v="0"/>
    <x v="8"/>
    <n v="27733.108"/>
    <n v="1558834.9950000001"/>
    <n v="1.7790919557845824E-2"/>
  </r>
  <r>
    <s v="22 "/>
    <x v="2"/>
    <x v="1"/>
    <x v="0"/>
    <x v="9"/>
    <n v="28783.612000000001"/>
    <n v="1621930.2709999999"/>
    <n v="1.7746516305077335E-2"/>
  </r>
  <r>
    <s v="22 "/>
    <x v="2"/>
    <x v="1"/>
    <x v="0"/>
    <x v="10"/>
    <n v="28279.915000000001"/>
    <n v="1611568.7879999999"/>
    <n v="1.7548065717440539E-2"/>
  </r>
  <r>
    <s v="22 "/>
    <x v="2"/>
    <x v="1"/>
    <x v="0"/>
    <x v="11"/>
    <n v="29194.378000000001"/>
    <n v="1666974.7009999999"/>
    <n v="1.751338996475868E-2"/>
  </r>
  <r>
    <s v="22 "/>
    <x v="2"/>
    <x v="1"/>
    <x v="0"/>
    <x v="12"/>
    <n v="31504.741999999998"/>
    <n v="1728163.9920000001"/>
    <n v="1.8230180784833756E-2"/>
  </r>
  <r>
    <s v="22 "/>
    <x v="2"/>
    <x v="1"/>
    <x v="0"/>
    <x v="13"/>
    <n v="30621.097000000002"/>
    <n v="1743960.8829999999"/>
    <n v="1.7558362288106439E-2"/>
  </r>
  <r>
    <s v="22 "/>
    <x v="2"/>
    <x v="1"/>
    <x v="0"/>
    <x v="14"/>
    <n v="29841.172999999999"/>
    <n v="1809343.5560000001"/>
    <n v="1.649281746467833E-2"/>
  </r>
  <r>
    <s v="22 "/>
    <x v="2"/>
    <x v="1"/>
    <x v="0"/>
    <x v="15"/>
    <n v="33990.093000000001"/>
    <n v="1909026.4350000001"/>
    <n v="1.7804935739404781E-2"/>
  </r>
  <r>
    <s v="22 "/>
    <x v="2"/>
    <x v="1"/>
    <x v="0"/>
    <x v="16"/>
    <n v="35106.588000000003"/>
    <n v="1918825.0060000001"/>
    <n v="1.8295877888929286E-2"/>
  </r>
  <r>
    <s v="22 "/>
    <x v="2"/>
    <x v="1"/>
    <x v="0"/>
    <x v="17"/>
    <n v="27309.955000000002"/>
    <n v="1743165.6229999999"/>
    <n v="1.5666873324979517E-2"/>
  </r>
  <r>
    <s v="22 "/>
    <x v="2"/>
    <x v="1"/>
    <x v="0"/>
    <x v="18"/>
    <n v="26065.999"/>
    <n v="1865875.274"/>
    <n v="1.3969850698605698E-2"/>
  </r>
  <r>
    <s v="22 "/>
    <x v="2"/>
    <x v="1"/>
    <x v="0"/>
    <x v="19"/>
    <n v="23386.639999999999"/>
    <n v="1928658.429"/>
    <n v="1.2125858912262581E-2"/>
  </r>
  <r>
    <s v="22 "/>
    <x v="2"/>
    <x v="1"/>
    <x v="0"/>
    <x v="20"/>
    <n v="24748.877"/>
    <n v="1991519.7"/>
    <n v="1.2427131401210845E-2"/>
  </r>
  <r>
    <s v="22 "/>
    <x v="2"/>
    <x v="1"/>
    <x v="0"/>
    <x v="21"/>
    <n v="23977.042000000001"/>
    <n v="2059995.5649999999"/>
    <n v="1.1639365835236641E-2"/>
  </r>
  <r>
    <s v="23 "/>
    <x v="3"/>
    <x v="1"/>
    <x v="0"/>
    <x v="0"/>
    <n v="59293.374000000003"/>
    <n v="1289662.122"/>
    <n v="4.597589786389028E-2"/>
  </r>
  <r>
    <s v="23 "/>
    <x v="3"/>
    <x v="1"/>
    <x v="0"/>
    <x v="1"/>
    <n v="64410.38"/>
    <n v="1335507.8389999999"/>
    <n v="4.8229129114082274E-2"/>
  </r>
  <r>
    <s v="23 "/>
    <x v="3"/>
    <x v="1"/>
    <x v="0"/>
    <x v="2"/>
    <n v="75136.481"/>
    <n v="1368861.9909999999"/>
    <n v="5.4889741620417307E-2"/>
  </r>
  <r>
    <s v="23 "/>
    <x v="3"/>
    <x v="1"/>
    <x v="0"/>
    <x v="3"/>
    <n v="89333.495999999999"/>
    <n v="1469583.898"/>
    <n v="6.0788292605530439E-2"/>
  </r>
  <r>
    <s v="23 "/>
    <x v="3"/>
    <x v="1"/>
    <x v="0"/>
    <x v="4"/>
    <n v="106879.09699999999"/>
    <n v="1532409.5149999999"/>
    <n v="6.974578006323591E-2"/>
  </r>
  <r>
    <s v="23 "/>
    <x v="3"/>
    <x v="1"/>
    <x v="0"/>
    <x v="5"/>
    <n v="96974.387000000002"/>
    <n v="1531655.04"/>
    <n v="6.3313464499160338E-2"/>
  </r>
  <r>
    <s v="23 "/>
    <x v="3"/>
    <x v="1"/>
    <x v="0"/>
    <x v="6"/>
    <n v="81320.691000000006"/>
    <n v="1411038.652"/>
    <n v="5.7631795475436773E-2"/>
  </r>
  <r>
    <s v="23 "/>
    <x v="3"/>
    <x v="1"/>
    <x v="0"/>
    <x v="7"/>
    <n v="91212.764999999999"/>
    <n v="1509564.2709999999"/>
    <n v="6.0423240502093203E-2"/>
  </r>
  <r>
    <s v="23 "/>
    <x v="3"/>
    <x v="1"/>
    <x v="0"/>
    <x v="8"/>
    <n v="93418.593999999997"/>
    <n v="1558834.9950000001"/>
    <n v="5.9928468567643355E-2"/>
  </r>
  <r>
    <s v="23 "/>
    <x v="3"/>
    <x v="1"/>
    <x v="0"/>
    <x v="9"/>
    <n v="89199.505999999994"/>
    <n v="1621930.2709999999"/>
    <n v="5.4995894456673591E-2"/>
  </r>
  <r>
    <s v="23 "/>
    <x v="3"/>
    <x v="1"/>
    <x v="0"/>
    <x v="10"/>
    <n v="88938.381999999998"/>
    <n v="1611568.7879999999"/>
    <n v="5.5187456261407815E-2"/>
  </r>
  <r>
    <s v="23 "/>
    <x v="3"/>
    <x v="1"/>
    <x v="0"/>
    <x v="11"/>
    <n v="99017.188999999998"/>
    <n v="1666974.7009999999"/>
    <n v="5.9399335179232578E-2"/>
  </r>
  <r>
    <s v="23 "/>
    <x v="3"/>
    <x v="1"/>
    <x v="0"/>
    <x v="12"/>
    <n v="113525.003"/>
    <n v="1728163.9920000001"/>
    <n v="6.5691105430693397E-2"/>
  </r>
  <r>
    <s v="23 "/>
    <x v="3"/>
    <x v="1"/>
    <x v="0"/>
    <x v="13"/>
    <n v="101364.348"/>
    <n v="1743960.8829999999"/>
    <n v="5.8123062843950267E-2"/>
  </r>
  <r>
    <s v="23 "/>
    <x v="3"/>
    <x v="1"/>
    <x v="0"/>
    <x v="14"/>
    <n v="103626.334"/>
    <n v="1809343.5560000001"/>
    <n v="5.7272889748529329E-2"/>
  </r>
  <r>
    <s v="23 "/>
    <x v="3"/>
    <x v="1"/>
    <x v="0"/>
    <x v="15"/>
    <n v="113979.548"/>
    <n v="1909026.4350000001"/>
    <n v="5.9705589147590818E-2"/>
  </r>
  <r>
    <s v="23 "/>
    <x v="3"/>
    <x v="1"/>
    <x v="0"/>
    <x v="16"/>
    <n v="112729.124"/>
    <n v="1918825.0060000001"/>
    <n v="5.8749038420651059E-2"/>
  </r>
  <r>
    <s v="23 "/>
    <x v="3"/>
    <x v="1"/>
    <x v="0"/>
    <x v="17"/>
    <n v="99841.843999999997"/>
    <n v="1743165.6229999999"/>
    <n v="5.727616623609838E-2"/>
  </r>
  <r>
    <s v="23 "/>
    <x v="3"/>
    <x v="1"/>
    <x v="0"/>
    <x v="18"/>
    <n v="102712.757"/>
    <n v="1865875.274"/>
    <n v="5.5048029432218093E-2"/>
  </r>
  <r>
    <s v="23 "/>
    <x v="3"/>
    <x v="1"/>
    <x v="0"/>
    <x v="19"/>
    <n v="94369.373000000007"/>
    <n v="1928658.429"/>
    <n v="4.8930060181226628E-2"/>
  </r>
  <r>
    <s v="23 "/>
    <x v="3"/>
    <x v="1"/>
    <x v="0"/>
    <x v="20"/>
    <n v="95467.232000000004"/>
    <n v="1991519.7"/>
    <n v="4.7936875542832949E-2"/>
  </r>
  <r>
    <s v="23 "/>
    <x v="3"/>
    <x v="1"/>
    <x v="0"/>
    <x v="21"/>
    <n v="117418.849"/>
    <n v="2059995.5649999999"/>
    <n v="5.6999563977216623E-2"/>
  </r>
  <r>
    <s v="31-33 "/>
    <x v="4"/>
    <x v="1"/>
    <x v="0"/>
    <x v="0"/>
    <n v="451971.03200000001"/>
    <n v="1289662.122"/>
    <n v="0.35045693309119302"/>
  </r>
  <r>
    <s v="31-33 "/>
    <x v="4"/>
    <x v="1"/>
    <x v="0"/>
    <x v="1"/>
    <n v="458926.99900000001"/>
    <n v="1335507.8389999999"/>
    <n v="0.34363482234865417"/>
  </r>
  <r>
    <s v="31-33 "/>
    <x v="4"/>
    <x v="1"/>
    <x v="0"/>
    <x v="2"/>
    <n v="465634.04300000001"/>
    <n v="1368861.9909999999"/>
    <n v="0.3401614231832375"/>
  </r>
  <r>
    <s v="31-33 "/>
    <x v="4"/>
    <x v="1"/>
    <x v="0"/>
    <x v="3"/>
    <n v="496629.00300000003"/>
    <n v="1469583.898"/>
    <n v="0.33793851693385935"/>
  </r>
  <r>
    <s v="31-33 "/>
    <x v="4"/>
    <x v="1"/>
    <x v="0"/>
    <x v="4"/>
    <n v="499033.90399999998"/>
    <n v="1532409.5149999999"/>
    <n v="0.32565309671807929"/>
  </r>
  <r>
    <s v="31-33 "/>
    <x v="4"/>
    <x v="1"/>
    <x v="0"/>
    <x v="5"/>
    <n v="491482.30800000002"/>
    <n v="1531655.04"/>
    <n v="0.3208831591740135"/>
  </r>
  <r>
    <s v="31-33 "/>
    <x v="4"/>
    <x v="1"/>
    <x v="0"/>
    <x v="6"/>
    <n v="459462.93599999999"/>
    <n v="1411038.652"/>
    <n v="0.32562037570605118"/>
  </r>
  <r>
    <s v="31-33 "/>
    <x v="4"/>
    <x v="1"/>
    <x v="0"/>
    <x v="7"/>
    <n v="492739.01899999997"/>
    <n v="1509564.2709999999"/>
    <n v="0.32641142114047822"/>
  </r>
  <r>
    <s v="31-33 "/>
    <x v="4"/>
    <x v="1"/>
    <x v="0"/>
    <x v="8"/>
    <n v="502325.4"/>
    <n v="1558834.9950000001"/>
    <n v="0.32224411282221693"/>
  </r>
  <r>
    <s v="31-33 "/>
    <x v="4"/>
    <x v="1"/>
    <x v="0"/>
    <x v="9"/>
    <n v="523686.98300000001"/>
    <n v="1621930.2709999999"/>
    <n v="0.32287885142998235"/>
  </r>
  <r>
    <s v="31-33 "/>
    <x v="4"/>
    <x v="1"/>
    <x v="0"/>
    <x v="10"/>
    <n v="506686.47600000002"/>
    <n v="1611568.7879999999"/>
    <n v="0.3144057391610392"/>
  </r>
  <r>
    <s v="31-33 "/>
    <x v="4"/>
    <x v="1"/>
    <x v="0"/>
    <x v="11"/>
    <n v="523435.38500000001"/>
    <n v="1666974.7009999999"/>
    <n v="0.31400319674077648"/>
  </r>
  <r>
    <s v="31-33 "/>
    <x v="4"/>
    <x v="1"/>
    <x v="0"/>
    <x v="12"/>
    <n v="528637.05299999996"/>
    <n v="1728163.9920000001"/>
    <n v="0.30589519018285388"/>
  </r>
  <r>
    <s v="31-33 "/>
    <x v="4"/>
    <x v="1"/>
    <x v="0"/>
    <x v="13"/>
    <n v="528350.02599999995"/>
    <n v="1743960.8829999999"/>
    <n v="0.30295979178794458"/>
  </r>
  <r>
    <s v="31-33 "/>
    <x v="4"/>
    <x v="1"/>
    <x v="0"/>
    <x v="14"/>
    <n v="551301.38500000001"/>
    <n v="1809343.5560000001"/>
    <n v="0.30469690688195644"/>
  </r>
  <r>
    <s v="31-33 "/>
    <x v="4"/>
    <x v="1"/>
    <x v="0"/>
    <x v="15"/>
    <n v="602392.11"/>
    <n v="1909026.4350000001"/>
    <n v="0.31554938106449004"/>
  </r>
  <r>
    <s v="31-33 "/>
    <x v="4"/>
    <x v="1"/>
    <x v="0"/>
    <x v="16"/>
    <n v="605508.13"/>
    <n v="1918825.0060000001"/>
    <n v="0.31556193405163491"/>
  </r>
  <r>
    <s v="31-33 "/>
    <x v="4"/>
    <x v="1"/>
    <x v="0"/>
    <x v="17"/>
    <n v="539617.02300000004"/>
    <n v="1743165.6229999999"/>
    <n v="0.30956153327032432"/>
  </r>
  <r>
    <s v="31-33 "/>
    <x v="4"/>
    <x v="1"/>
    <x v="0"/>
    <x v="18"/>
    <n v="601642.26399999997"/>
    <n v="1865875.274"/>
    <n v="0.32244505963692832"/>
  </r>
  <r>
    <s v="31-33 "/>
    <x v="4"/>
    <x v="1"/>
    <x v="0"/>
    <x v="19"/>
    <n v="639131.26599999995"/>
    <n v="1928658.429"/>
    <n v="0.33138644790067173"/>
  </r>
  <r>
    <s v="31-33 "/>
    <x v="4"/>
    <x v="1"/>
    <x v="0"/>
    <x v="20"/>
    <n v="657361.12199999997"/>
    <n v="1991519.7"/>
    <n v="0.33008015034950444"/>
  </r>
  <r>
    <s v="31-33 "/>
    <x v="4"/>
    <x v="1"/>
    <x v="0"/>
    <x v="21"/>
    <n v="662170.72699999996"/>
    <n v="2059995.5649999999"/>
    <n v="0.32144279252368196"/>
  </r>
  <r>
    <s v="43 "/>
    <x v="5"/>
    <x v="2"/>
    <x v="1"/>
    <x v="0"/>
    <n v="106297.508"/>
    <n v="1289662.122"/>
    <n v="8.2422757237496036E-2"/>
  </r>
  <r>
    <s v="43 "/>
    <x v="5"/>
    <x v="2"/>
    <x v="1"/>
    <x v="1"/>
    <n v="113614.15399999999"/>
    <n v="1335507.8389999999"/>
    <n v="8.5071873546674101E-2"/>
  </r>
  <r>
    <s v="43 "/>
    <x v="5"/>
    <x v="2"/>
    <x v="1"/>
    <x v="2"/>
    <n v="117285.43"/>
    <n v="1368861.9909999999"/>
    <n v="8.5680974978579849E-2"/>
  </r>
  <r>
    <s v="43 "/>
    <x v="5"/>
    <x v="2"/>
    <x v="1"/>
    <x v="3"/>
    <n v="127357.675"/>
    <n v="1469583.898"/>
    <n v="8.6662405034054063E-2"/>
  </r>
  <r>
    <s v="43 "/>
    <x v="5"/>
    <x v="2"/>
    <x v="1"/>
    <x v="4"/>
    <n v="133262.15900000001"/>
    <n v="1532409.5149999999"/>
    <n v="8.6962497749826367E-2"/>
  </r>
  <r>
    <s v="43 "/>
    <x v="5"/>
    <x v="2"/>
    <x v="1"/>
    <x v="5"/>
    <n v="135645.97200000001"/>
    <n v="1531655.04"/>
    <n v="8.856169859239324E-2"/>
  </r>
  <r>
    <s v="43 "/>
    <x v="5"/>
    <x v="2"/>
    <x v="1"/>
    <x v="6"/>
    <n v="115960.432"/>
    <n v="1411038.652"/>
    <n v="8.2180903999786392E-2"/>
  </r>
  <r>
    <s v="43 "/>
    <x v="5"/>
    <x v="2"/>
    <x v="1"/>
    <x v="7"/>
    <n v="130362.985"/>
    <n v="1509564.2709999999"/>
    <n v="8.6358022314374186E-2"/>
  </r>
  <r>
    <s v="43 "/>
    <x v="5"/>
    <x v="2"/>
    <x v="1"/>
    <x v="8"/>
    <n v="143260.52600000001"/>
    <n v="1558834.9950000001"/>
    <n v="9.1902302975947758E-2"/>
  </r>
  <r>
    <s v="43 "/>
    <x v="5"/>
    <x v="2"/>
    <x v="1"/>
    <x v="9"/>
    <n v="151318.073"/>
    <n v="1621930.2709999999"/>
    <n v="9.3295054482647369E-2"/>
  </r>
  <r>
    <s v="43 "/>
    <x v="5"/>
    <x v="2"/>
    <x v="1"/>
    <x v="10"/>
    <n v="151816.114"/>
    <n v="1611568.7879999999"/>
    <n v="9.4203930437501124E-2"/>
  </r>
  <r>
    <s v="43 "/>
    <x v="5"/>
    <x v="2"/>
    <x v="1"/>
    <x v="11"/>
    <n v="162919.66200000001"/>
    <n v="1666974.7009999999"/>
    <n v="9.7733733992643249E-2"/>
  </r>
  <r>
    <s v="43 "/>
    <x v="5"/>
    <x v="2"/>
    <x v="1"/>
    <x v="12"/>
    <n v="165181.43799999999"/>
    <n v="1728163.9920000001"/>
    <n v="9.5582038952701426E-2"/>
  </r>
  <r>
    <s v="43 "/>
    <x v="5"/>
    <x v="2"/>
    <x v="1"/>
    <x v="13"/>
    <n v="166962.307"/>
    <n v="1743960.8829999999"/>
    <n v="9.5737415114946711E-2"/>
  </r>
  <r>
    <s v="43 "/>
    <x v="5"/>
    <x v="2"/>
    <x v="1"/>
    <x v="14"/>
    <n v="168878.67199999999"/>
    <n v="1809343.5560000001"/>
    <n v="9.3336984808649562E-2"/>
  </r>
  <r>
    <s v="43 "/>
    <x v="5"/>
    <x v="2"/>
    <x v="1"/>
    <x v="15"/>
    <n v="173152.00099999999"/>
    <n v="1909026.4350000001"/>
    <n v="9.0701730382272042E-2"/>
  </r>
  <r>
    <s v="43 "/>
    <x v="5"/>
    <x v="2"/>
    <x v="1"/>
    <x v="16"/>
    <n v="169050.95300000001"/>
    <n v="1918825.0060000001"/>
    <n v="8.8101287231192149E-2"/>
  </r>
  <r>
    <s v="43 "/>
    <x v="5"/>
    <x v="2"/>
    <x v="1"/>
    <x v="17"/>
    <n v="155964.24"/>
    <n v="1743165.6229999999"/>
    <n v="8.9471842458425987E-2"/>
  </r>
  <r>
    <s v="43 "/>
    <x v="5"/>
    <x v="2"/>
    <x v="1"/>
    <x v="18"/>
    <n v="170397.68799999999"/>
    <n v="1865875.274"/>
    <n v="9.1323193127859623E-2"/>
  </r>
  <r>
    <s v="43 "/>
    <x v="5"/>
    <x v="2"/>
    <x v="1"/>
    <x v="19"/>
    <n v="182604.18900000001"/>
    <n v="1928658.429"/>
    <n v="9.4679382442374407E-2"/>
  </r>
  <r>
    <s v="43 "/>
    <x v="5"/>
    <x v="2"/>
    <x v="1"/>
    <x v="20"/>
    <n v="192037.88099999999"/>
    <n v="1991519.7"/>
    <n v="9.642780887379622E-2"/>
  </r>
  <r>
    <s v="43 "/>
    <x v="5"/>
    <x v="2"/>
    <x v="1"/>
    <x v="21"/>
    <n v="194918.38"/>
    <n v="2059995.5649999999"/>
    <n v="9.4620776525798006E-2"/>
  </r>
  <r>
    <s v="46 "/>
    <x v="6"/>
    <x v="2"/>
    <x v="1"/>
    <x v="0"/>
    <n v="106239.361"/>
    <n v="1289662.122"/>
    <n v="8.237767023446782E-2"/>
  </r>
  <r>
    <s v="46 "/>
    <x v="6"/>
    <x v="2"/>
    <x v="1"/>
    <x v="1"/>
    <n v="111299.53200000001"/>
    <n v="1335507.8389999999"/>
    <n v="8.3338733588668973E-2"/>
  </r>
  <r>
    <s v="46 "/>
    <x v="6"/>
    <x v="2"/>
    <x v="1"/>
    <x v="2"/>
    <n v="115009.659"/>
    <n v="1368861.9909999999"/>
    <n v="8.4018447262153545E-2"/>
  </r>
  <r>
    <s v="46 "/>
    <x v="6"/>
    <x v="2"/>
    <x v="1"/>
    <x v="3"/>
    <n v="123299.47500000001"/>
    <n v="1469583.898"/>
    <n v="8.3900943095390396E-2"/>
  </r>
  <r>
    <s v="46 "/>
    <x v="6"/>
    <x v="2"/>
    <x v="1"/>
    <x v="4"/>
    <n v="128812.13800000001"/>
    <n v="1532409.5149999999"/>
    <n v="8.4058560547374317E-2"/>
  </r>
  <r>
    <s v="46 "/>
    <x v="6"/>
    <x v="2"/>
    <x v="1"/>
    <x v="5"/>
    <n v="128932.781"/>
    <n v="1531655.04"/>
    <n v="8.4178733221809521E-2"/>
  </r>
  <r>
    <s v="46 "/>
    <x v="6"/>
    <x v="2"/>
    <x v="1"/>
    <x v="6"/>
    <n v="108140.678"/>
    <n v="1411038.652"/>
    <n v="7.6639061479089804E-2"/>
  </r>
  <r>
    <s v="46 "/>
    <x v="6"/>
    <x v="2"/>
    <x v="1"/>
    <x v="7"/>
    <n v="124050.645"/>
    <n v="1509564.2709999999"/>
    <n v="8.2176458056882562E-2"/>
  </r>
  <r>
    <s v="46 "/>
    <x v="6"/>
    <x v="2"/>
    <x v="1"/>
    <x v="8"/>
    <n v="129812.58500000001"/>
    <n v="1558834.9950000001"/>
    <n v="8.32753854105001E-2"/>
  </r>
  <r>
    <s v="46 "/>
    <x v="6"/>
    <x v="2"/>
    <x v="1"/>
    <x v="9"/>
    <n v="138573.81200000001"/>
    <n v="1621930.2709999999"/>
    <n v="8.5437589073766057E-2"/>
  </r>
  <r>
    <s v="46 "/>
    <x v="6"/>
    <x v="2"/>
    <x v="1"/>
    <x v="10"/>
    <n v="133133.34"/>
    <n v="1611568.7879999999"/>
    <n v="8.2611019145650028E-2"/>
  </r>
  <r>
    <s v="46 "/>
    <x v="6"/>
    <x v="2"/>
    <x v="1"/>
    <x v="11"/>
    <n v="137215.74100000001"/>
    <n v="1666974.7009999999"/>
    <n v="8.2314231234394727E-2"/>
  </r>
  <r>
    <s v="46 "/>
    <x v="6"/>
    <x v="2"/>
    <x v="1"/>
    <x v="12"/>
    <n v="139218.38399999999"/>
    <n v="1728163.9920000001"/>
    <n v="8.0558549214350239E-2"/>
  </r>
  <r>
    <s v="46 "/>
    <x v="6"/>
    <x v="2"/>
    <x v="1"/>
    <x v="13"/>
    <n v="140973.94500000001"/>
    <n v="1743960.8829999999"/>
    <n v="8.0835497157191696E-2"/>
  </r>
  <r>
    <s v="46 "/>
    <x v="6"/>
    <x v="2"/>
    <x v="1"/>
    <x v="14"/>
    <n v="142583.125"/>
    <n v="1809343.5560000001"/>
    <n v="7.8803787443892159E-2"/>
  </r>
  <r>
    <s v="46 "/>
    <x v="6"/>
    <x v="2"/>
    <x v="1"/>
    <x v="15"/>
    <n v="143170.766"/>
    <n v="1909026.4350000001"/>
    <n v="7.4996743562642174E-2"/>
  </r>
  <r>
    <s v="46 "/>
    <x v="6"/>
    <x v="2"/>
    <x v="1"/>
    <x v="16"/>
    <n v="141000.929"/>
    <n v="1918825.0060000001"/>
    <n v="7.3482953661278272E-2"/>
  </r>
  <r>
    <s v="46 "/>
    <x v="6"/>
    <x v="2"/>
    <x v="1"/>
    <x v="17"/>
    <n v="133159.84400000001"/>
    <n v="1743165.6229999999"/>
    <n v="7.6389668453208145E-2"/>
  </r>
  <r>
    <s v="46 "/>
    <x v="6"/>
    <x v="2"/>
    <x v="1"/>
    <x v="18"/>
    <n v="141074.44"/>
    <n v="1865875.274"/>
    <n v="7.5607647502380707E-2"/>
  </r>
  <r>
    <s v="46 "/>
    <x v="6"/>
    <x v="2"/>
    <x v="1"/>
    <x v="19"/>
    <n v="150739.57800000001"/>
    <n v="1928658.429"/>
    <n v="7.8157736866946284E-2"/>
  </r>
  <r>
    <s v="46 "/>
    <x v="6"/>
    <x v="2"/>
    <x v="1"/>
    <x v="20"/>
    <n v="156772.31099999999"/>
    <n v="1991519.7"/>
    <n v="7.871993985296756E-2"/>
  </r>
  <r>
    <s v="46 "/>
    <x v="6"/>
    <x v="2"/>
    <x v="1"/>
    <x v="21"/>
    <n v="162137.02600000001"/>
    <n v="2059995.5649999999"/>
    <n v="7.8707463625049129E-2"/>
  </r>
  <r>
    <s v="48-49 "/>
    <x v="7"/>
    <x v="2"/>
    <x v="2"/>
    <x v="0"/>
    <n v="97536.803"/>
    <n v="1289662.122"/>
    <n v="7.5629733816435993E-2"/>
  </r>
  <r>
    <s v="48-49 "/>
    <x v="7"/>
    <x v="2"/>
    <x v="2"/>
    <x v="1"/>
    <n v="104769.423"/>
    <n v="1335507.8389999999"/>
    <n v="7.8449126197903216E-2"/>
  </r>
  <r>
    <s v="48-49 "/>
    <x v="7"/>
    <x v="2"/>
    <x v="2"/>
    <x v="2"/>
    <n v="106696.288"/>
    <n v="1368861.9909999999"/>
    <n v="7.7945248462962108E-2"/>
  </r>
  <r>
    <s v="48-49 "/>
    <x v="7"/>
    <x v="2"/>
    <x v="2"/>
    <x v="3"/>
    <n v="111952.667"/>
    <n v="1469583.898"/>
    <n v="7.6179840533337137E-2"/>
  </r>
  <r>
    <s v="48-49 "/>
    <x v="7"/>
    <x v="2"/>
    <x v="2"/>
    <x v="4"/>
    <n v="116271.232"/>
    <n v="1532409.5149999999"/>
    <n v="7.5874778159413875E-2"/>
  </r>
  <r>
    <s v="48-49 "/>
    <x v="7"/>
    <x v="2"/>
    <x v="2"/>
    <x v="5"/>
    <n v="115013.20299999999"/>
    <n v="1531655.04"/>
    <n v="7.5090800471625779E-2"/>
  </r>
  <r>
    <s v="48-49 "/>
    <x v="7"/>
    <x v="2"/>
    <x v="2"/>
    <x v="6"/>
    <n v="102662.46799999999"/>
    <n v="1411038.652"/>
    <n v="7.2756666059066957E-2"/>
  </r>
  <r>
    <s v="48-49 "/>
    <x v="7"/>
    <x v="2"/>
    <x v="2"/>
    <x v="7"/>
    <n v="113286.247"/>
    <n v="1509564.2709999999"/>
    <n v="7.5045659980382512E-2"/>
  </r>
  <r>
    <s v="48-49 "/>
    <x v="7"/>
    <x v="2"/>
    <x v="2"/>
    <x v="8"/>
    <n v="120313.655"/>
    <n v="1558834.9950000001"/>
    <n v="7.7181777023167225E-2"/>
  </r>
  <r>
    <s v="48-49 "/>
    <x v="7"/>
    <x v="2"/>
    <x v="2"/>
    <x v="9"/>
    <n v="129243.054"/>
    <n v="1621930.2709999999"/>
    <n v="7.9684716606414463E-2"/>
  </r>
  <r>
    <s v="48-49 "/>
    <x v="7"/>
    <x v="2"/>
    <x v="2"/>
    <x v="10"/>
    <n v="131289.25200000001"/>
    <n v="1611568.7879999999"/>
    <n v="8.1466737862882971E-2"/>
  </r>
  <r>
    <s v="48-49 "/>
    <x v="7"/>
    <x v="2"/>
    <x v="2"/>
    <x v="11"/>
    <n v="138969.71400000001"/>
    <n v="1666974.7009999999"/>
    <n v="8.3366420568130761E-2"/>
  </r>
  <r>
    <s v="48-49 "/>
    <x v="7"/>
    <x v="2"/>
    <x v="2"/>
    <x v="12"/>
    <n v="147104.693"/>
    <n v="1728163.9920000001"/>
    <n v="8.5121952361567305E-2"/>
  </r>
  <r>
    <s v="48-49 "/>
    <x v="7"/>
    <x v="2"/>
    <x v="2"/>
    <x v="13"/>
    <n v="150282.717"/>
    <n v="1743960.8829999999"/>
    <n v="8.6173215503251632E-2"/>
  </r>
  <r>
    <s v="48-49 "/>
    <x v="7"/>
    <x v="2"/>
    <x v="2"/>
    <x v="14"/>
    <n v="160174.66200000001"/>
    <n v="1809343.5560000001"/>
    <n v="8.8526394818077322E-2"/>
  </r>
  <r>
    <s v="48-49 "/>
    <x v="7"/>
    <x v="2"/>
    <x v="2"/>
    <x v="15"/>
    <n v="165128.715"/>
    <n v="1909026.4350000001"/>
    <n v="8.6498914825137024E-2"/>
  </r>
  <r>
    <s v="48-49 "/>
    <x v="7"/>
    <x v="2"/>
    <x v="2"/>
    <x v="16"/>
    <n v="165008.636"/>
    <n v="1918825.0060000001"/>
    <n v="8.5994624566613553E-2"/>
  </r>
  <r>
    <s v="48-49 "/>
    <x v="7"/>
    <x v="2"/>
    <x v="2"/>
    <x v="17"/>
    <n v="144769.14799999999"/>
    <n v="1743165.6229999999"/>
    <n v="8.3049565738252284E-2"/>
  </r>
  <r>
    <s v="48-49 "/>
    <x v="7"/>
    <x v="2"/>
    <x v="2"/>
    <x v="18"/>
    <n v="164535.68400000001"/>
    <n v="1865875.274"/>
    <n v="8.818150188960594E-2"/>
  </r>
  <r>
    <s v="48-49 "/>
    <x v="7"/>
    <x v="2"/>
    <x v="2"/>
    <x v="19"/>
    <n v="180352.139"/>
    <n v="1928658.429"/>
    <n v="9.3511705488209071E-2"/>
  </r>
  <r>
    <s v="48-49 "/>
    <x v="7"/>
    <x v="2"/>
    <x v="2"/>
    <x v="20"/>
    <n v="187058.12700000001"/>
    <n v="1991519.7"/>
    <n v="9.3927329466035422E-2"/>
  </r>
  <r>
    <s v="48-49 "/>
    <x v="7"/>
    <x v="2"/>
    <x v="2"/>
    <x v="21"/>
    <n v="193809.38"/>
    <n v="2059995.5649999999"/>
    <n v="9.408242585221295E-2"/>
  </r>
  <r>
    <s v="51 "/>
    <x v="8"/>
    <x v="2"/>
    <x v="3"/>
    <x v="0"/>
    <n v="7852.3649999999998"/>
    <n v="1289662.122"/>
    <n v="6.0886994089758961E-3"/>
  </r>
  <r>
    <s v="51 "/>
    <x v="8"/>
    <x v="2"/>
    <x v="3"/>
    <x v="1"/>
    <n v="8824.9670000000006"/>
    <n v="1335507.8389999999"/>
    <n v="6.6079484839324867E-3"/>
  </r>
  <r>
    <s v="51 "/>
    <x v="8"/>
    <x v="2"/>
    <x v="3"/>
    <x v="2"/>
    <n v="9795.17"/>
    <n v="1368861.9909999999"/>
    <n v="7.1557031055002832E-3"/>
  </r>
  <r>
    <s v="51 "/>
    <x v="8"/>
    <x v="2"/>
    <x v="3"/>
    <x v="3"/>
    <n v="10785.807000000001"/>
    <n v="1469583.898"/>
    <n v="7.3393611720152371E-3"/>
  </r>
  <r>
    <s v="51 "/>
    <x v="8"/>
    <x v="2"/>
    <x v="3"/>
    <x v="4"/>
    <n v="12724.86"/>
    <n v="1532409.5149999999"/>
    <n v="8.303824712286521E-3"/>
  </r>
  <r>
    <s v="51 "/>
    <x v="8"/>
    <x v="2"/>
    <x v="3"/>
    <x v="5"/>
    <n v="13523.191999999999"/>
    <n v="1531655.04"/>
    <n v="8.8291368792805976E-3"/>
  </r>
  <r>
    <s v="51 "/>
    <x v="8"/>
    <x v="2"/>
    <x v="3"/>
    <x v="6"/>
    <n v="13804.383"/>
    <n v="1411038.652"/>
    <n v="9.7831359760653814E-3"/>
  </r>
  <r>
    <s v="51 "/>
    <x v="8"/>
    <x v="2"/>
    <x v="3"/>
    <x v="7"/>
    <n v="13722.151"/>
    <n v="1509564.2709999999"/>
    <n v="9.0901402898929638E-3"/>
  </r>
  <r>
    <s v="51 "/>
    <x v="8"/>
    <x v="2"/>
    <x v="3"/>
    <x v="8"/>
    <n v="14396.071"/>
    <n v="1558834.9950000001"/>
    <n v="9.235147431367486E-3"/>
  </r>
  <r>
    <s v="51 "/>
    <x v="8"/>
    <x v="2"/>
    <x v="3"/>
    <x v="9"/>
    <n v="15467.484"/>
    <n v="1621930.2709999999"/>
    <n v="9.5364666882155995E-3"/>
  </r>
  <r>
    <s v="51 "/>
    <x v="8"/>
    <x v="2"/>
    <x v="3"/>
    <x v="10"/>
    <n v="16053.948"/>
    <n v="1611568.7879999999"/>
    <n v="9.9616895782173726E-3"/>
  </r>
  <r>
    <s v="51 "/>
    <x v="8"/>
    <x v="2"/>
    <x v="3"/>
    <x v="11"/>
    <n v="17118.947"/>
    <n v="1666974.7009999999"/>
    <n v="1.0269470190357738E-2"/>
  </r>
  <r>
    <s v="51 "/>
    <x v="8"/>
    <x v="2"/>
    <x v="3"/>
    <x v="12"/>
    <n v="20342.504000000001"/>
    <n v="1728163.9920000001"/>
    <n v="1.1771165291123598E-2"/>
  </r>
  <r>
    <s v="51 "/>
    <x v="8"/>
    <x v="2"/>
    <x v="3"/>
    <x v="13"/>
    <n v="24094.442999999999"/>
    <n v="1743960.8829999999"/>
    <n v="1.3815930870279733E-2"/>
  </r>
  <r>
    <s v="51 "/>
    <x v="8"/>
    <x v="2"/>
    <x v="3"/>
    <x v="14"/>
    <n v="25571.602999999999"/>
    <n v="1809343.5560000001"/>
    <n v="1.4133083192078972E-2"/>
  </r>
  <r>
    <s v="51 "/>
    <x v="8"/>
    <x v="2"/>
    <x v="3"/>
    <x v="15"/>
    <n v="27742.824000000001"/>
    <n v="1909026.4350000001"/>
    <n v="1.4532446220421248E-2"/>
  </r>
  <r>
    <s v="51 "/>
    <x v="8"/>
    <x v="2"/>
    <x v="3"/>
    <x v="16"/>
    <n v="29212.028999999999"/>
    <n v="1918825.0060000001"/>
    <n v="1.5223915108806956E-2"/>
  </r>
  <r>
    <s v="51 "/>
    <x v="8"/>
    <x v="2"/>
    <x v="3"/>
    <x v="17"/>
    <n v="28217.686000000002"/>
    <n v="1743165.6229999999"/>
    <n v="1.6187610418473702E-2"/>
  </r>
  <r>
    <s v="51 "/>
    <x v="8"/>
    <x v="2"/>
    <x v="3"/>
    <x v="18"/>
    <n v="30738.544999999998"/>
    <n v="1865875.274"/>
    <n v="1.6474062027792325E-2"/>
  </r>
  <r>
    <s v="51 "/>
    <x v="8"/>
    <x v="2"/>
    <x v="3"/>
    <x v="19"/>
    <n v="36545.71"/>
    <n v="1928658.429"/>
    <n v="1.8948772603010255E-2"/>
  </r>
  <r>
    <s v="51 "/>
    <x v="8"/>
    <x v="2"/>
    <x v="3"/>
    <x v="20"/>
    <n v="39152.377"/>
    <n v="1991519.7"/>
    <n v="1.9659547932164567E-2"/>
  </r>
  <r>
    <s v="51 "/>
    <x v="8"/>
    <x v="2"/>
    <x v="3"/>
    <x v="21"/>
    <n v="42387.79"/>
    <n v="2059995.5649999999"/>
    <n v="2.0576641387089589E-2"/>
  </r>
  <r>
    <s v="52 "/>
    <x v="9"/>
    <x v="2"/>
    <x v="3"/>
    <x v="0"/>
    <n v="19973.780999999999"/>
    <n v="1289662.122"/>
    <n v="1.5487607691404308E-2"/>
  </r>
  <r>
    <s v="52 "/>
    <x v="9"/>
    <x v="2"/>
    <x v="3"/>
    <x v="1"/>
    <n v="22413.848999999998"/>
    <n v="1335507.8389999999"/>
    <n v="1.6783015677978359E-2"/>
  </r>
  <r>
    <s v="52 "/>
    <x v="9"/>
    <x v="2"/>
    <x v="3"/>
    <x v="2"/>
    <n v="19658.975999999999"/>
    <n v="1368861.9909999999"/>
    <n v="1.4361547131306095E-2"/>
  </r>
  <r>
    <s v="52 "/>
    <x v="9"/>
    <x v="2"/>
    <x v="3"/>
    <x v="3"/>
    <n v="21023.863000000001"/>
    <n v="1469583.898"/>
    <n v="1.430599711157151E-2"/>
  </r>
  <r>
    <s v="52 "/>
    <x v="9"/>
    <x v="2"/>
    <x v="3"/>
    <x v="4"/>
    <n v="24832.16"/>
    <n v="1532409.5149999999"/>
    <n v="1.6204650099683048E-2"/>
  </r>
  <r>
    <s v="52 "/>
    <x v="9"/>
    <x v="2"/>
    <x v="3"/>
    <x v="5"/>
    <n v="29612.807000000001"/>
    <n v="1531655.04"/>
    <n v="1.93338618857677E-2"/>
  </r>
  <r>
    <s v="52 "/>
    <x v="9"/>
    <x v="2"/>
    <x v="3"/>
    <x v="6"/>
    <n v="31684.855"/>
    <n v="1411038.652"/>
    <n v="2.2454987292580556E-2"/>
  </r>
  <r>
    <s v="52 "/>
    <x v="9"/>
    <x v="2"/>
    <x v="3"/>
    <x v="7"/>
    <n v="38865.351000000002"/>
    <n v="1509564.2709999999"/>
    <n v="2.5746072390978047E-2"/>
  </r>
  <r>
    <s v="52 "/>
    <x v="9"/>
    <x v="2"/>
    <x v="3"/>
    <x v="8"/>
    <n v="40222.218999999997"/>
    <n v="1558834.9950000001"/>
    <n v="2.5802743156917642E-2"/>
  </r>
  <r>
    <s v="52 "/>
    <x v="9"/>
    <x v="2"/>
    <x v="3"/>
    <x v="9"/>
    <n v="42567.733"/>
    <n v="1621930.2709999999"/>
    <n v="2.6245106686217094E-2"/>
  </r>
  <r>
    <s v="52 "/>
    <x v="9"/>
    <x v="2"/>
    <x v="3"/>
    <x v="10"/>
    <n v="50815.754999999997"/>
    <n v="1611568.7879999999"/>
    <n v="3.1531856026489391E-2"/>
  </r>
  <r>
    <s v="52 "/>
    <x v="9"/>
    <x v="2"/>
    <x v="3"/>
    <x v="11"/>
    <n v="52198.747000000003"/>
    <n v="1666974.7009999999"/>
    <n v="3.131346082738181E-2"/>
  </r>
  <r>
    <s v="52 "/>
    <x v="9"/>
    <x v="2"/>
    <x v="3"/>
    <x v="12"/>
    <n v="58740.665000000001"/>
    <n v="1728163.9920000001"/>
    <n v="3.3990214627733085E-2"/>
  </r>
  <r>
    <s v="52 "/>
    <x v="9"/>
    <x v="2"/>
    <x v="3"/>
    <x v="13"/>
    <n v="68086.73"/>
    <n v="1743960.8829999999"/>
    <n v="3.9041431871382176E-2"/>
  </r>
  <r>
    <s v="52 "/>
    <x v="9"/>
    <x v="2"/>
    <x v="3"/>
    <x v="14"/>
    <n v="79462.03"/>
    <n v="1809343.5560000001"/>
    <n v="4.3917601904013413E-2"/>
  </r>
  <r>
    <s v="52 "/>
    <x v="9"/>
    <x v="2"/>
    <x v="3"/>
    <x v="15"/>
    <n v="84133.881999999998"/>
    <n v="1909026.4350000001"/>
    <n v="4.4071617059613946E-2"/>
  </r>
  <r>
    <s v="52 "/>
    <x v="9"/>
    <x v="2"/>
    <x v="3"/>
    <x v="16"/>
    <n v="84746.209000000003"/>
    <n v="1918825.0060000001"/>
    <n v="4.4165678858158468E-2"/>
  </r>
  <r>
    <s v="52 "/>
    <x v="9"/>
    <x v="2"/>
    <x v="3"/>
    <x v="17"/>
    <n v="79600.606"/>
    <n v="1743165.6229999999"/>
    <n v="4.5664396400272519E-2"/>
  </r>
  <r>
    <s v="52 "/>
    <x v="9"/>
    <x v="2"/>
    <x v="3"/>
    <x v="18"/>
    <n v="79576.422999999995"/>
    <n v="1865875.274"/>
    <n v="4.2648307798948834E-2"/>
  </r>
  <r>
    <s v="52 "/>
    <x v="9"/>
    <x v="2"/>
    <x v="3"/>
    <x v="19"/>
    <n v="86707.577999999994"/>
    <n v="1928658.429"/>
    <n v="4.4957456798069451E-2"/>
  </r>
  <r>
    <s v="52 "/>
    <x v="9"/>
    <x v="2"/>
    <x v="3"/>
    <x v="20"/>
    <n v="93268.062000000005"/>
    <n v="1991519.7"/>
    <n v="4.6832608284015469E-2"/>
  </r>
  <r>
    <s v="52 "/>
    <x v="9"/>
    <x v="2"/>
    <x v="3"/>
    <x v="21"/>
    <n v="98039.827999999994"/>
    <n v="2059995.5649999999"/>
    <n v="4.7592251976523066E-2"/>
  </r>
  <r>
    <s v="53 "/>
    <x v="10"/>
    <x v="2"/>
    <x v="4"/>
    <x v="0"/>
    <n v="75549.243000000002"/>
    <n v="1289662.122"/>
    <n v="5.8580648149019608E-2"/>
  </r>
  <r>
    <s v="53 "/>
    <x v="10"/>
    <x v="2"/>
    <x v="4"/>
    <x v="1"/>
    <n v="79502.857000000004"/>
    <n v="1335507.8389999999"/>
    <n v="5.953005641623943E-2"/>
  </r>
  <r>
    <s v="53 "/>
    <x v="10"/>
    <x v="2"/>
    <x v="4"/>
    <x v="2"/>
    <n v="81337.86"/>
    <n v="1368861.9909999999"/>
    <n v="5.942005880416034E-2"/>
  </r>
  <r>
    <s v="53 "/>
    <x v="10"/>
    <x v="2"/>
    <x v="4"/>
    <x v="3"/>
    <n v="86137.346000000005"/>
    <n v="1469583.898"/>
    <n v="5.8613425281283264E-2"/>
  </r>
  <r>
    <s v="53 "/>
    <x v="10"/>
    <x v="2"/>
    <x v="4"/>
    <x v="4"/>
    <n v="89736.407999999996"/>
    <n v="1532409.5149999999"/>
    <n v="5.8559025587882757E-2"/>
  </r>
  <r>
    <s v="53 "/>
    <x v="10"/>
    <x v="2"/>
    <x v="4"/>
    <x v="5"/>
    <n v="93324.553"/>
    <n v="1531655.04"/>
    <n v="6.0930529762106223E-2"/>
  </r>
  <r>
    <s v="53 "/>
    <x v="10"/>
    <x v="2"/>
    <x v="4"/>
    <x v="6"/>
    <n v="92078.716"/>
    <n v="1411038.652"/>
    <n v="6.5255984213818688E-2"/>
  </r>
  <r>
    <s v="53 "/>
    <x v="10"/>
    <x v="2"/>
    <x v="4"/>
    <x v="7"/>
    <n v="94524.017999999996"/>
    <n v="1509564.2709999999"/>
    <n v="6.2616756249393238E-2"/>
  </r>
  <r>
    <s v="53 "/>
    <x v="10"/>
    <x v="2"/>
    <x v="4"/>
    <x v="8"/>
    <n v="97200.135999999999"/>
    <n v="1558834.9950000001"/>
    <n v="6.2354345592555802E-2"/>
  </r>
  <r>
    <s v="53 "/>
    <x v="10"/>
    <x v="2"/>
    <x v="4"/>
    <x v="9"/>
    <n v="100547.16499999999"/>
    <n v="1621930.2709999999"/>
    <n v="6.1992285857028678E-2"/>
  </r>
  <r>
    <s v="53 "/>
    <x v="10"/>
    <x v="2"/>
    <x v="4"/>
    <x v="10"/>
    <n v="101284.50199999999"/>
    <n v="1611568.7879999999"/>
    <n v="6.2848388945095396E-2"/>
  </r>
  <r>
    <s v="53 "/>
    <x v="10"/>
    <x v="2"/>
    <x v="4"/>
    <x v="11"/>
    <n v="104272.1"/>
    <n v="1666974.7009999999"/>
    <n v="6.255169915743071E-2"/>
  </r>
  <r>
    <s v="53 "/>
    <x v="10"/>
    <x v="2"/>
    <x v="4"/>
    <x v="12"/>
    <n v="107390.25599999999"/>
    <n v="1728163.9920000001"/>
    <n v="6.2141241512454794E-2"/>
  </r>
  <r>
    <s v="53 "/>
    <x v="10"/>
    <x v="2"/>
    <x v="4"/>
    <x v="13"/>
    <n v="110258.179"/>
    <n v="1743960.8829999999"/>
    <n v="6.3222850968039757E-2"/>
  </r>
  <r>
    <s v="53 "/>
    <x v="10"/>
    <x v="2"/>
    <x v="4"/>
    <x v="14"/>
    <n v="112473.03"/>
    <n v="1809343.5560000001"/>
    <n v="6.2162340384182953E-2"/>
  </r>
  <r>
    <s v="53 "/>
    <x v="10"/>
    <x v="2"/>
    <x v="4"/>
    <x v="15"/>
    <n v="115263.66800000001"/>
    <n v="1909026.4350000001"/>
    <n v="6.0378246150373502E-2"/>
  </r>
  <r>
    <s v="53 "/>
    <x v="10"/>
    <x v="2"/>
    <x v="4"/>
    <x v="16"/>
    <n v="118408.72199999999"/>
    <n v="1918825.0060000001"/>
    <n v="6.17089737885144E-2"/>
  </r>
  <r>
    <s v="53 "/>
    <x v="10"/>
    <x v="2"/>
    <x v="4"/>
    <x v="17"/>
    <n v="118280.624"/>
    <n v="1743165.6229999999"/>
    <n v="6.7853921876016715E-2"/>
  </r>
  <r>
    <s v="53 "/>
    <x v="10"/>
    <x v="2"/>
    <x v="4"/>
    <x v="18"/>
    <n v="126775.257"/>
    <n v="1865875.274"/>
    <n v="6.7944121864171286E-2"/>
  </r>
  <r>
    <s v="53 "/>
    <x v="10"/>
    <x v="2"/>
    <x v="4"/>
    <x v="19"/>
    <n v="132497.76300000001"/>
    <n v="1928658.429"/>
    <n v="6.8699444654230168E-2"/>
  </r>
  <r>
    <s v="53 "/>
    <x v="10"/>
    <x v="2"/>
    <x v="4"/>
    <x v="20"/>
    <n v="136740.59700000001"/>
    <n v="1991519.7"/>
    <n v="6.8661433276306541E-2"/>
  </r>
  <r>
    <s v="53 "/>
    <x v="10"/>
    <x v="2"/>
    <x v="4"/>
    <x v="21"/>
    <n v="137335.04699999999"/>
    <n v="2059995.5649999999"/>
    <n v="6.6667642073297367E-2"/>
  </r>
  <r>
    <s v="54 "/>
    <x v="11"/>
    <x v="2"/>
    <x v="3"/>
    <x v="0"/>
    <n v="26141.605"/>
    <n v="1289662.122"/>
    <n v="2.027011924600822E-2"/>
  </r>
  <r>
    <s v="54 "/>
    <x v="11"/>
    <x v="2"/>
    <x v="3"/>
    <x v="1"/>
    <n v="27993.473000000002"/>
    <n v="1335507.8389999999"/>
    <n v="2.0960920020477697E-2"/>
  </r>
  <r>
    <s v="54 "/>
    <x v="11"/>
    <x v="2"/>
    <x v="3"/>
    <x v="2"/>
    <n v="29420.565999999999"/>
    <n v="1368861.9909999999"/>
    <n v="2.1492718910623914E-2"/>
  </r>
  <r>
    <s v="54 "/>
    <x v="11"/>
    <x v="2"/>
    <x v="3"/>
    <x v="3"/>
    <n v="29985.760999999999"/>
    <n v="1469583.898"/>
    <n v="2.0404252551221132E-2"/>
  </r>
  <r>
    <s v="54 "/>
    <x v="11"/>
    <x v="2"/>
    <x v="3"/>
    <x v="4"/>
    <n v="32327.546999999999"/>
    <n v="1532409.5149999999"/>
    <n v="2.1095892895183439E-2"/>
  </r>
  <r>
    <s v="54 "/>
    <x v="11"/>
    <x v="2"/>
    <x v="3"/>
    <x v="5"/>
    <n v="33253.315999999999"/>
    <n v="1531655.04"/>
    <n v="2.1710708437325418E-2"/>
  </r>
  <r>
    <s v="54 "/>
    <x v="11"/>
    <x v="2"/>
    <x v="3"/>
    <x v="6"/>
    <n v="33514.010999999999"/>
    <n v="1411038.652"/>
    <n v="2.3751306140691035E-2"/>
  </r>
  <r>
    <s v="54 "/>
    <x v="11"/>
    <x v="2"/>
    <x v="3"/>
    <x v="7"/>
    <n v="31679.454000000002"/>
    <n v="1509564.2709999999"/>
    <n v="2.0985826578297444E-2"/>
  </r>
  <r>
    <s v="54 "/>
    <x v="11"/>
    <x v="2"/>
    <x v="3"/>
    <x v="8"/>
    <n v="32878.94"/>
    <n v="1558834.9950000001"/>
    <n v="2.109199505108621E-2"/>
  </r>
  <r>
    <s v="54 "/>
    <x v="11"/>
    <x v="2"/>
    <x v="3"/>
    <x v="9"/>
    <n v="35002.773000000001"/>
    <n v="1621930.2709999999"/>
    <n v="2.1580935768847242E-2"/>
  </r>
  <r>
    <s v="54 "/>
    <x v="11"/>
    <x v="2"/>
    <x v="3"/>
    <x v="10"/>
    <n v="33324.762999999999"/>
    <n v="1611568.7879999999"/>
    <n v="2.0678461414828542E-2"/>
  </r>
  <r>
    <s v="54 "/>
    <x v="11"/>
    <x v="2"/>
    <x v="3"/>
    <x v="11"/>
    <n v="32929.171999999999"/>
    <n v="1666974.7009999999"/>
    <n v="1.9753852281169083E-2"/>
  </r>
  <r>
    <s v="54 "/>
    <x v="11"/>
    <x v="2"/>
    <x v="3"/>
    <x v="12"/>
    <n v="35441.47"/>
    <n v="1728163.9920000001"/>
    <n v="2.0508163672004108E-2"/>
  </r>
  <r>
    <s v="54 "/>
    <x v="11"/>
    <x v="2"/>
    <x v="3"/>
    <x v="13"/>
    <n v="38083.987000000001"/>
    <n v="1743960.8829999999"/>
    <n v="2.1837638315881883E-2"/>
  </r>
  <r>
    <s v="54 "/>
    <x v="11"/>
    <x v="2"/>
    <x v="3"/>
    <x v="14"/>
    <n v="38154.925999999999"/>
    <n v="1809343.5560000001"/>
    <n v="2.1087717627464222E-2"/>
  </r>
  <r>
    <s v="54 "/>
    <x v="11"/>
    <x v="2"/>
    <x v="3"/>
    <x v="15"/>
    <n v="37903.851999999999"/>
    <n v="1909026.4350000001"/>
    <n v="1.9855069214900628E-2"/>
  </r>
  <r>
    <s v="54 "/>
    <x v="11"/>
    <x v="2"/>
    <x v="3"/>
    <x v="16"/>
    <n v="38933.06"/>
    <n v="1918825.0060000001"/>
    <n v="2.0290052442645725E-2"/>
  </r>
  <r>
    <s v="54 "/>
    <x v="11"/>
    <x v="2"/>
    <x v="3"/>
    <x v="17"/>
    <n v="41869.991000000002"/>
    <n v="1743165.6229999999"/>
    <n v="2.4019513950683274E-2"/>
  </r>
  <r>
    <s v="54 "/>
    <x v="11"/>
    <x v="2"/>
    <x v="3"/>
    <x v="18"/>
    <n v="43273.3"/>
    <n v="1865875.274"/>
    <n v="2.3191957470572067E-2"/>
  </r>
  <r>
    <s v="54 "/>
    <x v="11"/>
    <x v="2"/>
    <x v="3"/>
    <x v="19"/>
    <n v="43715.999000000003"/>
    <n v="1928658.429"/>
    <n v="2.2666532519533038E-2"/>
  </r>
  <r>
    <s v="54 "/>
    <x v="11"/>
    <x v="2"/>
    <x v="3"/>
    <x v="20"/>
    <n v="45065.652000000002"/>
    <n v="1991519.7"/>
    <n v="2.2628775402020879E-2"/>
  </r>
  <r>
    <s v="54 "/>
    <x v="11"/>
    <x v="2"/>
    <x v="3"/>
    <x v="21"/>
    <n v="52174.415999999997"/>
    <n v="2059995.5649999999"/>
    <n v="2.5327440935534247E-2"/>
  </r>
  <r>
    <s v="55 "/>
    <x v="12"/>
    <x v="2"/>
    <x v="3"/>
    <x v="0"/>
    <n v="6986.4040000000005"/>
    <n v="1289662.122"/>
    <n v="5.4172359417407161E-3"/>
  </r>
  <r>
    <s v="55 "/>
    <x v="12"/>
    <x v="2"/>
    <x v="3"/>
    <x v="1"/>
    <n v="7056.1490000000003"/>
    <n v="1335507.8389999999"/>
    <n v="5.2834950076245868E-3"/>
  </r>
  <r>
    <s v="55 "/>
    <x v="12"/>
    <x v="2"/>
    <x v="3"/>
    <x v="2"/>
    <n v="7374.509"/>
    <n v="1368861.9909999999"/>
    <n v="5.3873283417071663E-3"/>
  </r>
  <r>
    <s v="55 "/>
    <x v="12"/>
    <x v="2"/>
    <x v="3"/>
    <x v="3"/>
    <n v="7886.299"/>
    <n v="1469583.898"/>
    <n v="5.3663482641125122E-3"/>
  </r>
  <r>
    <s v="55 "/>
    <x v="12"/>
    <x v="2"/>
    <x v="3"/>
    <x v="4"/>
    <n v="8085.01"/>
    <n v="1532409.5149999999"/>
    <n v="5.2760113539232368E-3"/>
  </r>
  <r>
    <s v="55 "/>
    <x v="12"/>
    <x v="2"/>
    <x v="3"/>
    <x v="5"/>
    <n v="8427.9159999999993"/>
    <n v="1531655.04"/>
    <n v="5.5024896467549241E-3"/>
  </r>
  <r>
    <s v="55 "/>
    <x v="12"/>
    <x v="2"/>
    <x v="3"/>
    <x v="6"/>
    <n v="7895.2439999999997"/>
    <n v="1411038.652"/>
    <n v="5.595342118239862E-3"/>
  </r>
  <r>
    <s v="55 "/>
    <x v="12"/>
    <x v="2"/>
    <x v="3"/>
    <x v="7"/>
    <n v="8321.5190000000002"/>
    <n v="1509564.2709999999"/>
    <n v="5.512530443296376E-3"/>
  </r>
  <r>
    <s v="55 "/>
    <x v="12"/>
    <x v="2"/>
    <x v="3"/>
    <x v="8"/>
    <n v="8839.3670000000002"/>
    <n v="1558834.9950000001"/>
    <n v="5.6704956126546286E-3"/>
  </r>
  <r>
    <s v="55 "/>
    <x v="12"/>
    <x v="2"/>
    <x v="3"/>
    <x v="9"/>
    <n v="9351.6790000000001"/>
    <n v="1621930.2709999999"/>
    <n v="5.7657712956021403E-3"/>
  </r>
  <r>
    <s v="55 "/>
    <x v="12"/>
    <x v="2"/>
    <x v="3"/>
    <x v="10"/>
    <n v="8945.1489999999994"/>
    <n v="1611568.7879999999"/>
    <n v="5.5505846642147794E-3"/>
  </r>
  <r>
    <s v="55 "/>
    <x v="12"/>
    <x v="2"/>
    <x v="3"/>
    <x v="11"/>
    <n v="9206.5779999999995"/>
    <n v="1666974.7009999999"/>
    <n v="5.5229260494937772E-3"/>
  </r>
  <r>
    <s v="55 "/>
    <x v="12"/>
    <x v="2"/>
    <x v="3"/>
    <x v="12"/>
    <n v="9763.24"/>
    <n v="1728163.9920000001"/>
    <n v="5.649486996139195E-3"/>
  </r>
  <r>
    <s v="55 "/>
    <x v="12"/>
    <x v="2"/>
    <x v="3"/>
    <x v="13"/>
    <n v="10650.45"/>
    <n v="1743960.8829999999"/>
    <n v="6.1070463814984557E-3"/>
  </r>
  <r>
    <s v="55 "/>
    <x v="12"/>
    <x v="2"/>
    <x v="3"/>
    <x v="14"/>
    <n v="11086.448"/>
    <n v="1809343.5560000001"/>
    <n v="6.1273316298809093E-3"/>
  </r>
  <r>
    <s v="55 "/>
    <x v="12"/>
    <x v="2"/>
    <x v="3"/>
    <x v="15"/>
    <n v="11416.668"/>
    <n v="1909026.4350000001"/>
    <n v="5.9803613981909056E-3"/>
  </r>
  <r>
    <s v="55 "/>
    <x v="12"/>
    <x v="2"/>
    <x v="3"/>
    <x v="16"/>
    <n v="11902.276"/>
    <n v="1918825.0060000001"/>
    <n v="6.2028981083645518E-3"/>
  </r>
  <r>
    <s v="55 "/>
    <x v="12"/>
    <x v="2"/>
    <x v="3"/>
    <x v="17"/>
    <n v="11776.428"/>
    <n v="1743165.6229999999"/>
    <n v="6.7557711353512621E-3"/>
  </r>
  <r>
    <s v="55 "/>
    <x v="12"/>
    <x v="2"/>
    <x v="3"/>
    <x v="18"/>
    <n v="13273.509"/>
    <n v="1865875.274"/>
    <n v="7.1138243723787081E-3"/>
  </r>
  <r>
    <s v="55 "/>
    <x v="12"/>
    <x v="2"/>
    <x v="3"/>
    <x v="19"/>
    <n v="14738.808000000001"/>
    <n v="1928658.429"/>
    <n v="7.6420001480728764E-3"/>
  </r>
  <r>
    <s v="55 "/>
    <x v="12"/>
    <x v="2"/>
    <x v="3"/>
    <x v="20"/>
    <n v="14733.993"/>
    <n v="1991519.7"/>
    <n v="7.3983666844972713E-3"/>
  </r>
  <r>
    <s v="55 "/>
    <x v="12"/>
    <x v="2"/>
    <x v="3"/>
    <x v="21"/>
    <n v="15329.698"/>
    <n v="2059995.5649999999"/>
    <n v="7.4416169920249325E-3"/>
  </r>
  <r>
    <s v="56 "/>
    <x v="13"/>
    <x v="2"/>
    <x v="3"/>
    <x v="0"/>
    <n v="41236.811000000002"/>
    <n v="1289662.122"/>
    <n v="3.1974895049294162E-2"/>
  </r>
  <r>
    <s v="56 "/>
    <x v="13"/>
    <x v="2"/>
    <x v="3"/>
    <x v="1"/>
    <n v="42193.008999999998"/>
    <n v="1335507.8389999999"/>
    <n v="3.1593232003485079E-2"/>
  </r>
  <r>
    <s v="56 "/>
    <x v="13"/>
    <x v="2"/>
    <x v="3"/>
    <x v="2"/>
    <n v="43344.072999999997"/>
    <n v="1368861.9909999999"/>
    <n v="3.1664311877295744E-2"/>
  </r>
  <r>
    <s v="56 "/>
    <x v="13"/>
    <x v="2"/>
    <x v="3"/>
    <x v="3"/>
    <n v="52557.440999999999"/>
    <n v="1469583.898"/>
    <n v="3.5763484528870362E-2"/>
  </r>
  <r>
    <s v="56 "/>
    <x v="13"/>
    <x v="2"/>
    <x v="3"/>
    <x v="4"/>
    <n v="59128.915000000001"/>
    <n v="1532409.5149999999"/>
    <n v="3.8585583306039443E-2"/>
  </r>
  <r>
    <s v="56 "/>
    <x v="13"/>
    <x v="2"/>
    <x v="3"/>
    <x v="5"/>
    <n v="58763.584000000003"/>
    <n v="1531655.04"/>
    <n v="3.8366069686291762E-2"/>
  </r>
  <r>
    <s v="56 "/>
    <x v="13"/>
    <x v="2"/>
    <x v="3"/>
    <x v="6"/>
    <n v="55890.131000000001"/>
    <n v="1411038.652"/>
    <n v="3.9609213341379117E-2"/>
  </r>
  <r>
    <s v="56 "/>
    <x v="13"/>
    <x v="2"/>
    <x v="3"/>
    <x v="7"/>
    <n v="58130.400000000001"/>
    <n v="1509564.2709999999"/>
    <n v="3.8508065616505313E-2"/>
  </r>
  <r>
    <s v="56 "/>
    <x v="13"/>
    <x v="2"/>
    <x v="3"/>
    <x v="8"/>
    <n v="62186.758000000002"/>
    <n v="1558834.9950000001"/>
    <n v="3.9893098499498333E-2"/>
  </r>
  <r>
    <s v="56 "/>
    <x v="13"/>
    <x v="2"/>
    <x v="3"/>
    <x v="9"/>
    <n v="63276.81"/>
    <n v="1621930.2709999999"/>
    <n v="3.9013273955967744E-2"/>
  </r>
  <r>
    <s v="56 "/>
    <x v="13"/>
    <x v="2"/>
    <x v="3"/>
    <x v="10"/>
    <n v="65670.816999999995"/>
    <n v="1611568.7879999999"/>
    <n v="4.074962079744622E-2"/>
  </r>
  <r>
    <s v="56 "/>
    <x v="13"/>
    <x v="2"/>
    <x v="3"/>
    <x v="11"/>
    <n v="65321.271000000001"/>
    <n v="1666974.7009999999"/>
    <n v="3.9185520308625252E-2"/>
  </r>
  <r>
    <s v="56 "/>
    <x v="13"/>
    <x v="2"/>
    <x v="3"/>
    <x v="12"/>
    <n v="65308.237999999998"/>
    <n v="1728163.9920000001"/>
    <n v="3.7790532786427827E-2"/>
  </r>
  <r>
    <s v="56 "/>
    <x v="13"/>
    <x v="2"/>
    <x v="3"/>
    <x v="13"/>
    <n v="67769.808999999994"/>
    <n v="1743960.8829999999"/>
    <n v="3.88597070385093E-2"/>
  </r>
  <r>
    <s v="56 "/>
    <x v="13"/>
    <x v="2"/>
    <x v="3"/>
    <x v="14"/>
    <n v="72995.088000000003"/>
    <n v="1809343.5560000001"/>
    <n v="4.0343409496742366E-2"/>
  </r>
  <r>
    <s v="56 "/>
    <x v="13"/>
    <x v="2"/>
    <x v="3"/>
    <x v="15"/>
    <n v="77931.232999999993"/>
    <n v="1909026.4350000001"/>
    <n v="4.0822500710944835E-2"/>
  </r>
  <r>
    <s v="56 "/>
    <x v="13"/>
    <x v="2"/>
    <x v="3"/>
    <x v="16"/>
    <n v="80068.096000000005"/>
    <n v="1918825.0060000001"/>
    <n v="4.1727669667444393E-2"/>
  </r>
  <r>
    <s v="56 "/>
    <x v="13"/>
    <x v="2"/>
    <x v="3"/>
    <x v="17"/>
    <n v="77433.097999999998"/>
    <n v="1743165.6229999999"/>
    <n v="4.4420964352622508E-2"/>
  </r>
  <r>
    <s v="56 "/>
    <x v="13"/>
    <x v="2"/>
    <x v="3"/>
    <x v="18"/>
    <n v="56726.343000000001"/>
    <n v="1865875.274"/>
    <n v="3.0402001564869871E-2"/>
  </r>
  <r>
    <s v="56 "/>
    <x v="13"/>
    <x v="2"/>
    <x v="3"/>
    <x v="19"/>
    <n v="17686.526000000002"/>
    <n v="1928658.429"/>
    <n v="9.1703775712998481E-3"/>
  </r>
  <r>
    <s v="56 "/>
    <x v="13"/>
    <x v="2"/>
    <x v="3"/>
    <x v="20"/>
    <n v="16304.484"/>
    <n v="1991519.7"/>
    <n v="8.1869559211490608E-3"/>
  </r>
  <r>
    <s v="56 "/>
    <x v="13"/>
    <x v="2"/>
    <x v="3"/>
    <x v="21"/>
    <n v="15370.741"/>
    <n v="2059995.5649999999"/>
    <n v="7.4615408213269622E-3"/>
  </r>
  <r>
    <s v="61 "/>
    <x v="14"/>
    <x v="2"/>
    <x v="5"/>
    <x v="0"/>
    <n v="50805.66"/>
    <n v="1289662.122"/>
    <n v="3.9394550815535237E-2"/>
  </r>
  <r>
    <s v="61 "/>
    <x v="14"/>
    <x v="2"/>
    <x v="5"/>
    <x v="1"/>
    <n v="51434.637000000002"/>
    <n v="1335507.8389999999"/>
    <n v="3.8513167424395783E-2"/>
  </r>
  <r>
    <s v="61 "/>
    <x v="14"/>
    <x v="2"/>
    <x v="5"/>
    <x v="2"/>
    <n v="51906.659"/>
    <n v="1368861.9909999999"/>
    <n v="3.7919570666200199E-2"/>
  </r>
  <r>
    <s v="61 "/>
    <x v="14"/>
    <x v="2"/>
    <x v="5"/>
    <x v="3"/>
    <n v="51635.745999999999"/>
    <n v="1469583.898"/>
    <n v="3.5136303596053686E-2"/>
  </r>
  <r>
    <s v="61 "/>
    <x v="14"/>
    <x v="2"/>
    <x v="5"/>
    <x v="4"/>
    <n v="52454.326000000001"/>
    <n v="1532409.5149999999"/>
    <n v="3.4229966263293533E-2"/>
  </r>
  <r>
    <s v="61 "/>
    <x v="14"/>
    <x v="2"/>
    <x v="5"/>
    <x v="5"/>
    <n v="54446.684000000001"/>
    <n v="1531655.04"/>
    <n v="3.5547615212365311E-2"/>
  </r>
  <r>
    <s v="61 "/>
    <x v="14"/>
    <x v="2"/>
    <x v="5"/>
    <x v="6"/>
    <n v="53794.351999999999"/>
    <n v="1411038.652"/>
    <n v="3.8123939357544968E-2"/>
  </r>
  <r>
    <s v="61 "/>
    <x v="14"/>
    <x v="2"/>
    <x v="5"/>
    <x v="7"/>
    <n v="54287.925000000003"/>
    <n v="1509564.2709999999"/>
    <n v="3.5962645673931697E-2"/>
  </r>
  <r>
    <s v="61 "/>
    <x v="14"/>
    <x v="2"/>
    <x v="5"/>
    <x v="8"/>
    <n v="54235.603999999999"/>
    <n v="1558834.9950000001"/>
    <n v="3.4792395714724117E-2"/>
  </r>
  <r>
    <s v="61 "/>
    <x v="14"/>
    <x v="2"/>
    <x v="5"/>
    <x v="9"/>
    <n v="57551.356"/>
    <n v="1621930.2709999999"/>
    <n v="3.5483249205600406E-2"/>
  </r>
  <r>
    <s v="61 "/>
    <x v="14"/>
    <x v="2"/>
    <x v="5"/>
    <x v="10"/>
    <n v="55787.97"/>
    <n v="1611568.7879999999"/>
    <n v="3.4617181975356057E-2"/>
  </r>
  <r>
    <s v="61 "/>
    <x v="14"/>
    <x v="2"/>
    <x v="5"/>
    <x v="11"/>
    <n v="53838.141000000003"/>
    <n v="1666974.7009999999"/>
    <n v="3.2296915464705665E-2"/>
  </r>
  <r>
    <s v="61 "/>
    <x v="14"/>
    <x v="2"/>
    <x v="5"/>
    <x v="12"/>
    <n v="54870.262999999999"/>
    <n v="1728163.9920000001"/>
    <n v="3.1750611200097263E-2"/>
  </r>
  <r>
    <s v="61 "/>
    <x v="14"/>
    <x v="2"/>
    <x v="5"/>
    <x v="13"/>
    <n v="53699.512999999999"/>
    <n v="1743960.8829999999"/>
    <n v="3.0791695802043974E-2"/>
  </r>
  <r>
    <s v="61 "/>
    <x v="14"/>
    <x v="2"/>
    <x v="5"/>
    <x v="14"/>
    <n v="55081.404999999999"/>
    <n v="1809343.5560000001"/>
    <n v="3.0442756334109936E-2"/>
  </r>
  <r>
    <s v="61 "/>
    <x v="14"/>
    <x v="2"/>
    <x v="5"/>
    <x v="15"/>
    <n v="55695.883000000002"/>
    <n v="1909026.4350000001"/>
    <n v="2.9175019255299101E-2"/>
  </r>
  <r>
    <s v="61 "/>
    <x v="14"/>
    <x v="2"/>
    <x v="5"/>
    <x v="16"/>
    <n v="56310.22"/>
    <n v="1918825.0060000001"/>
    <n v="2.9346198753884698E-2"/>
  </r>
  <r>
    <s v="61 "/>
    <x v="14"/>
    <x v="2"/>
    <x v="5"/>
    <x v="17"/>
    <n v="52413.637000000002"/>
    <n v="1743165.6229999999"/>
    <n v="3.0068076325298211E-2"/>
  </r>
  <r>
    <s v="61 "/>
    <x v="14"/>
    <x v="2"/>
    <x v="5"/>
    <x v="18"/>
    <n v="53532.423000000003"/>
    <n v="1865875.274"/>
    <n v="2.8690247277482279E-2"/>
  </r>
  <r>
    <s v="61 "/>
    <x v="14"/>
    <x v="2"/>
    <x v="5"/>
    <x v="19"/>
    <n v="56335.686000000002"/>
    <n v="1928658.429"/>
    <n v="2.9209778752378554E-2"/>
  </r>
  <r>
    <s v="61 "/>
    <x v="14"/>
    <x v="2"/>
    <x v="5"/>
    <x v="20"/>
    <n v="57894.258000000002"/>
    <n v="1991519.7"/>
    <n v="2.9070391821883562E-2"/>
  </r>
  <r>
    <s v="61 "/>
    <x v="14"/>
    <x v="2"/>
    <x v="5"/>
    <x v="21"/>
    <n v="58882.864999999998"/>
    <n v="2059995.5649999999"/>
    <n v="2.8583976587347654E-2"/>
  </r>
  <r>
    <s v="62 "/>
    <x v="15"/>
    <x v="2"/>
    <x v="5"/>
    <x v="0"/>
    <n v="20241.829000000002"/>
    <n v="1289662.122"/>
    <n v="1.5695451277276486E-2"/>
  </r>
  <r>
    <s v="62 "/>
    <x v="15"/>
    <x v="2"/>
    <x v="5"/>
    <x v="1"/>
    <n v="20044.191999999999"/>
    <n v="1335507.8389999999"/>
    <n v="1.5008666676946402E-2"/>
  </r>
  <r>
    <s v="62 "/>
    <x v="15"/>
    <x v="2"/>
    <x v="5"/>
    <x v="2"/>
    <n v="20203.759999999998"/>
    <n v="1368861.9909999999"/>
    <n v="1.4759530276124089E-2"/>
  </r>
  <r>
    <s v="62 "/>
    <x v="15"/>
    <x v="2"/>
    <x v="5"/>
    <x v="3"/>
    <n v="22398.557000000001"/>
    <n v="1469583.898"/>
    <n v="1.5241427883418467E-2"/>
  </r>
  <r>
    <s v="62 "/>
    <x v="15"/>
    <x v="2"/>
    <x v="5"/>
    <x v="4"/>
    <n v="23429.66"/>
    <n v="1532409.5149999999"/>
    <n v="1.5289424772333133E-2"/>
  </r>
  <r>
    <s v="62 "/>
    <x v="15"/>
    <x v="2"/>
    <x v="5"/>
    <x v="5"/>
    <n v="24149.669000000002"/>
    <n v="1531655.04"/>
    <n v="1.5767041774628315E-2"/>
  </r>
  <r>
    <s v="62 "/>
    <x v="15"/>
    <x v="2"/>
    <x v="5"/>
    <x v="6"/>
    <n v="24273.436000000002"/>
    <n v="1411038.652"/>
    <n v="1.7202530891407504E-2"/>
  </r>
  <r>
    <s v="62 "/>
    <x v="15"/>
    <x v="2"/>
    <x v="5"/>
    <x v="7"/>
    <n v="25443.19"/>
    <n v="1509564.2709999999"/>
    <n v="1.6854658320142501E-2"/>
  </r>
  <r>
    <s v="62 "/>
    <x v="15"/>
    <x v="2"/>
    <x v="5"/>
    <x v="8"/>
    <n v="25265.064999999999"/>
    <n v="1558834.9950000001"/>
    <n v="1.6207658335255681E-2"/>
  </r>
  <r>
    <s v="62 "/>
    <x v="15"/>
    <x v="2"/>
    <x v="5"/>
    <x v="9"/>
    <n v="25305.79"/>
    <n v="1621930.2709999999"/>
    <n v="1.5602267528059474E-2"/>
  </r>
  <r>
    <s v="62 "/>
    <x v="15"/>
    <x v="2"/>
    <x v="5"/>
    <x v="10"/>
    <n v="26721.916000000001"/>
    <n v="1611568.7879999999"/>
    <n v="1.6581306487799763E-2"/>
  </r>
  <r>
    <s v="62 "/>
    <x v="15"/>
    <x v="2"/>
    <x v="5"/>
    <x v="11"/>
    <n v="27007.697"/>
    <n v="1666974.7009999999"/>
    <n v="1.620162380616717E-2"/>
  </r>
  <r>
    <s v="62 "/>
    <x v="15"/>
    <x v="2"/>
    <x v="5"/>
    <x v="12"/>
    <n v="26115.159"/>
    <n v="1728163.9920000001"/>
    <n v="1.5111505112299551E-2"/>
  </r>
  <r>
    <s v="62 "/>
    <x v="15"/>
    <x v="2"/>
    <x v="5"/>
    <x v="13"/>
    <n v="26339.030999999999"/>
    <n v="1743960.8829999999"/>
    <n v="1.5102994142099688E-2"/>
  </r>
  <r>
    <s v="62 "/>
    <x v="15"/>
    <x v="2"/>
    <x v="5"/>
    <x v="14"/>
    <n v="27915.414000000001"/>
    <n v="1809343.5560000001"/>
    <n v="1.5428476204770034E-2"/>
  </r>
  <r>
    <s v="62 "/>
    <x v="15"/>
    <x v="2"/>
    <x v="5"/>
    <x v="15"/>
    <n v="29576.131000000001"/>
    <n v="1909026.4350000001"/>
    <n v="1.5492782319695851E-2"/>
  </r>
  <r>
    <s v="62 "/>
    <x v="15"/>
    <x v="2"/>
    <x v="5"/>
    <x v="16"/>
    <n v="30964.675999999999"/>
    <n v="1918825.0060000001"/>
    <n v="1.6137311064415009E-2"/>
  </r>
  <r>
    <s v="62 "/>
    <x v="15"/>
    <x v="2"/>
    <x v="5"/>
    <x v="17"/>
    <n v="29870.056"/>
    <n v="1743165.6229999999"/>
    <n v="1.7135523788378428E-2"/>
  </r>
  <r>
    <s v="62 "/>
    <x v="15"/>
    <x v="2"/>
    <x v="5"/>
    <x v="18"/>
    <n v="32386.571"/>
    <n v="1865875.274"/>
    <n v="1.7357307560312309E-2"/>
  </r>
  <r>
    <s v="62 "/>
    <x v="15"/>
    <x v="2"/>
    <x v="5"/>
    <x v="19"/>
    <n v="31360.379000000001"/>
    <n v="1928658.429"/>
    <n v="1.6260203739788287E-2"/>
  </r>
  <r>
    <s v="62 "/>
    <x v="15"/>
    <x v="2"/>
    <x v="5"/>
    <x v="20"/>
    <n v="31717.800999999999"/>
    <n v="1991519.7"/>
    <n v="1.5926430956219012E-2"/>
  </r>
  <r>
    <s v="62 "/>
    <x v="15"/>
    <x v="2"/>
    <x v="5"/>
    <x v="21"/>
    <n v="32610.984"/>
    <n v="2059995.5649999999"/>
    <n v="1.5830608839199126E-2"/>
  </r>
  <r>
    <s v="71 "/>
    <x v="16"/>
    <x v="2"/>
    <x v="6"/>
    <x v="0"/>
    <n v="9787.09"/>
    <n v="1289662.122"/>
    <n v="7.5888791591570059E-3"/>
  </r>
  <r>
    <s v="71 "/>
    <x v="16"/>
    <x v="2"/>
    <x v="6"/>
    <x v="1"/>
    <n v="10028.870999999999"/>
    <n v="1335507.8389999999"/>
    <n v="7.5094063150609484E-3"/>
  </r>
  <r>
    <s v="71 "/>
    <x v="16"/>
    <x v="2"/>
    <x v="6"/>
    <x v="2"/>
    <n v="10248.485000000001"/>
    <n v="1368861.9909999999"/>
    <n v="7.4868650509560403E-3"/>
  </r>
  <r>
    <s v="71 "/>
    <x v="16"/>
    <x v="2"/>
    <x v="6"/>
    <x v="3"/>
    <n v="10657.145"/>
    <n v="1469583.898"/>
    <n v="7.2518112198314251E-3"/>
  </r>
  <r>
    <s v="71 "/>
    <x v="16"/>
    <x v="2"/>
    <x v="6"/>
    <x v="4"/>
    <n v="10941.082"/>
    <n v="1532409.5149999999"/>
    <n v="7.1397899144472494E-3"/>
  </r>
  <r>
    <s v="71 "/>
    <x v="16"/>
    <x v="2"/>
    <x v="6"/>
    <x v="5"/>
    <n v="11003.994000000001"/>
    <n v="1531655.04"/>
    <n v="7.1843814126710936E-3"/>
  </r>
  <r>
    <s v="71 "/>
    <x v="16"/>
    <x v="2"/>
    <x v="6"/>
    <x v="6"/>
    <n v="10702.146000000001"/>
    <n v="1411038.652"/>
    <n v="7.5845874135558409E-3"/>
  </r>
  <r>
    <s v="71 "/>
    <x v="16"/>
    <x v="2"/>
    <x v="6"/>
    <x v="7"/>
    <n v="10980.5"/>
    <n v="1509564.2709999999"/>
    <n v="7.2739532929764206E-3"/>
  </r>
  <r>
    <s v="71 "/>
    <x v="16"/>
    <x v="2"/>
    <x v="6"/>
    <x v="8"/>
    <n v="11055.369000000001"/>
    <n v="1558834.9950000001"/>
    <n v="7.0920713452420278E-3"/>
  </r>
  <r>
    <s v="71 "/>
    <x v="16"/>
    <x v="2"/>
    <x v="6"/>
    <x v="9"/>
    <n v="11567.263999999999"/>
    <n v="1621930.2709999999"/>
    <n v="7.1317887130056528E-3"/>
  </r>
  <r>
    <s v="71 "/>
    <x v="16"/>
    <x v="2"/>
    <x v="6"/>
    <x v="10"/>
    <n v="12092.620999999999"/>
    <n v="1611568.7879999999"/>
    <n v="7.5036331617015653E-3"/>
  </r>
  <r>
    <s v="71 "/>
    <x v="16"/>
    <x v="2"/>
    <x v="6"/>
    <x v="11"/>
    <n v="12184.05"/>
    <n v="1666974.7009999999"/>
    <n v="7.3090791316094486E-3"/>
  </r>
  <r>
    <s v="71 "/>
    <x v="16"/>
    <x v="2"/>
    <x v="6"/>
    <x v="12"/>
    <n v="12828.322"/>
    <n v="1728163.9920000001"/>
    <n v="7.4230929815600503E-3"/>
  </r>
  <r>
    <s v="71 "/>
    <x v="16"/>
    <x v="2"/>
    <x v="6"/>
    <x v="13"/>
    <n v="13415.398999999999"/>
    <n v="1743960.8829999999"/>
    <n v="7.6924884788255885E-3"/>
  </r>
  <r>
    <s v="71 "/>
    <x v="16"/>
    <x v="2"/>
    <x v="6"/>
    <x v="14"/>
    <n v="13853.034"/>
    <n v="1809343.5560000001"/>
    <n v="7.6563867343278609E-3"/>
  </r>
  <r>
    <s v="71 "/>
    <x v="16"/>
    <x v="2"/>
    <x v="6"/>
    <x v="15"/>
    <n v="14079.300999999999"/>
    <n v="1909026.4350000001"/>
    <n v="7.3751210260218315E-3"/>
  </r>
  <r>
    <s v="71 "/>
    <x v="16"/>
    <x v="2"/>
    <x v="6"/>
    <x v="16"/>
    <n v="14030.6"/>
    <n v="1918825.0060000001"/>
    <n v="7.3120789838195385E-3"/>
  </r>
  <r>
    <s v="71 "/>
    <x v="16"/>
    <x v="2"/>
    <x v="6"/>
    <x v="17"/>
    <n v="8269.9940000000006"/>
    <n v="1743165.6229999999"/>
    <n v="4.7442388094868946E-3"/>
  </r>
  <r>
    <s v="71 "/>
    <x v="16"/>
    <x v="2"/>
    <x v="6"/>
    <x v="18"/>
    <n v="10662.484"/>
    <n v="1865875.274"/>
    <n v="5.7144677077702677E-3"/>
  </r>
  <r>
    <s v="71 "/>
    <x v="16"/>
    <x v="2"/>
    <x v="6"/>
    <x v="19"/>
    <n v="15525.727000000001"/>
    <n v="1928658.429"/>
    <n v="8.0500138161063665E-3"/>
  </r>
  <r>
    <s v="71 "/>
    <x v="16"/>
    <x v="2"/>
    <x v="6"/>
    <x v="20"/>
    <n v="16343.17"/>
    <n v="1991519.7"/>
    <n v="8.2063812876166879E-3"/>
  </r>
  <r>
    <s v="71 "/>
    <x v="16"/>
    <x v="2"/>
    <x v="6"/>
    <x v="21"/>
    <n v="16893.694"/>
    <n v="2059995.5649999999"/>
    <n v="8.2008399857889987E-3"/>
  </r>
  <r>
    <s v="72 "/>
    <x v="17"/>
    <x v="2"/>
    <x v="6"/>
    <x v="0"/>
    <n v="31445.172999999999"/>
    <n v="1289662.122"/>
    <n v="2.4382489385076318E-2"/>
  </r>
  <r>
    <s v="72 "/>
    <x v="17"/>
    <x v="2"/>
    <x v="6"/>
    <x v="1"/>
    <n v="31471.897000000001"/>
    <n v="1335507.8389999999"/>
    <n v="2.3565490280884831E-2"/>
  </r>
  <r>
    <s v="72 "/>
    <x v="17"/>
    <x v="2"/>
    <x v="6"/>
    <x v="2"/>
    <n v="32606.741999999998"/>
    <n v="1368861.9909999999"/>
    <n v="2.3820328283189213E-2"/>
  </r>
  <r>
    <s v="72 "/>
    <x v="17"/>
    <x v="2"/>
    <x v="6"/>
    <x v="3"/>
    <n v="34003.951000000001"/>
    <n v="1469583.898"/>
    <n v="2.3138489096319697E-2"/>
  </r>
  <r>
    <s v="72 "/>
    <x v="17"/>
    <x v="2"/>
    <x v="6"/>
    <x v="4"/>
    <n v="37423.43"/>
    <n v="1532409.5149999999"/>
    <n v="2.4421298375976216E-2"/>
  </r>
  <r>
    <s v="72 "/>
    <x v="17"/>
    <x v="2"/>
    <x v="6"/>
    <x v="5"/>
    <n v="34655.150999999998"/>
    <n v="1531655.04"/>
    <n v="2.262595042288373E-2"/>
  </r>
  <r>
    <s v="72 "/>
    <x v="17"/>
    <x v="2"/>
    <x v="6"/>
    <x v="6"/>
    <n v="29156.075000000001"/>
    <n v="1411038.652"/>
    <n v="2.0662846449085084E-2"/>
  </r>
  <r>
    <s v="72 "/>
    <x v="17"/>
    <x v="2"/>
    <x v="6"/>
    <x v="7"/>
    <n v="26561.111000000001"/>
    <n v="1509564.2709999999"/>
    <n v="1.7595217050549814E-2"/>
  </r>
  <r>
    <s v="72 "/>
    <x v="17"/>
    <x v="2"/>
    <x v="6"/>
    <x v="8"/>
    <n v="25092.29"/>
    <n v="1558834.9950000001"/>
    <n v="1.6096822358032833E-2"/>
  </r>
  <r>
    <s v="72 "/>
    <x v="17"/>
    <x v="2"/>
    <x v="6"/>
    <x v="9"/>
    <n v="28288.286"/>
    <n v="1621930.2709999999"/>
    <n v="1.7441123398331346E-2"/>
  </r>
  <r>
    <s v="72 "/>
    <x v="17"/>
    <x v="2"/>
    <x v="6"/>
    <x v="10"/>
    <n v="29605.833999999999"/>
    <n v="1611568.7879999999"/>
    <n v="1.8370816201238069E-2"/>
  </r>
  <r>
    <s v="72 "/>
    <x v="17"/>
    <x v="2"/>
    <x v="6"/>
    <x v="11"/>
    <n v="28278.488000000001"/>
    <n v="1666974.7009999999"/>
    <n v="1.6963957511194408E-2"/>
  </r>
  <r>
    <s v="72 "/>
    <x v="17"/>
    <x v="2"/>
    <x v="6"/>
    <x v="12"/>
    <n v="30066.066999999999"/>
    <n v="1728163.9920000001"/>
    <n v="1.7397693239288369E-2"/>
  </r>
  <r>
    <s v="72 "/>
    <x v="17"/>
    <x v="2"/>
    <x v="6"/>
    <x v="13"/>
    <n v="29448.798999999999"/>
    <n v="1743960.8829999999"/>
    <n v="1.6886157990735163E-2"/>
  </r>
  <r>
    <s v="72 "/>
    <x v="17"/>
    <x v="2"/>
    <x v="6"/>
    <x v="14"/>
    <n v="30433.441999999999"/>
    <n v="1809343.5560000001"/>
    <n v="1.6820156624804093E-2"/>
  </r>
  <r>
    <s v="72 "/>
    <x v="17"/>
    <x v="2"/>
    <x v="6"/>
    <x v="15"/>
    <n v="27709.935000000001"/>
    <n v="1909026.4350000001"/>
    <n v="1.4515218067161025E-2"/>
  </r>
  <r>
    <s v="72 "/>
    <x v="17"/>
    <x v="2"/>
    <x v="6"/>
    <x v="16"/>
    <n v="27143.566999999999"/>
    <n v="1918825.0060000001"/>
    <n v="1.4145931450301309E-2"/>
  </r>
  <r>
    <s v="72 "/>
    <x v="17"/>
    <x v="2"/>
    <x v="6"/>
    <x v="17"/>
    <n v="16684.150000000001"/>
    <n v="1743165.6229999999"/>
    <n v="9.5711788827538176E-3"/>
  </r>
  <r>
    <s v="72 "/>
    <x v="17"/>
    <x v="2"/>
    <x v="6"/>
    <x v="18"/>
    <n v="22371.071"/>
    <n v="1865875.274"/>
    <n v="1.1989585430349618E-2"/>
  </r>
  <r>
    <s v="72 "/>
    <x v="17"/>
    <x v="2"/>
    <x v="6"/>
    <x v="19"/>
    <n v="23122.895"/>
    <n v="1928658.429"/>
    <n v="1.19891084145932E-2"/>
  </r>
  <r>
    <s v="72 "/>
    <x v="17"/>
    <x v="2"/>
    <x v="6"/>
    <x v="20"/>
    <n v="20451.239000000001"/>
    <n v="1991519.7"/>
    <n v="1.0269162288477489E-2"/>
  </r>
  <r>
    <s v="72 "/>
    <x v="17"/>
    <x v="2"/>
    <x v="6"/>
    <x v="21"/>
    <n v="24201.816999999999"/>
    <n v="2059995.5649999999"/>
    <n v="1.1748480147820125E-2"/>
  </r>
  <r>
    <s v="81 "/>
    <x v="18"/>
    <x v="2"/>
    <x v="6"/>
    <x v="0"/>
    <n v="18717.47"/>
    <n v="1289662.122"/>
    <n v="1.4513468047718628E-2"/>
  </r>
  <r>
    <s v="81 "/>
    <x v="18"/>
    <x v="2"/>
    <x v="6"/>
    <x v="1"/>
    <n v="19222.516"/>
    <n v="1335507.8389999999"/>
    <n v="1.4393413081269081E-2"/>
  </r>
  <r>
    <s v="81 "/>
    <x v="18"/>
    <x v="2"/>
    <x v="6"/>
    <x v="2"/>
    <n v="20065.737000000001"/>
    <n v="1368861.9909999999"/>
    <n v="1.4658699804602875E-2"/>
  </r>
  <r>
    <s v="81 "/>
    <x v="18"/>
    <x v="2"/>
    <x v="6"/>
    <x v="3"/>
    <n v="20878.046999999999"/>
    <n v="1469583.898"/>
    <n v="1.4206774467530263E-2"/>
  </r>
  <r>
    <s v="81 "/>
    <x v="18"/>
    <x v="2"/>
    <x v="6"/>
    <x v="4"/>
    <n v="21577.976999999999"/>
    <n v="1532409.5149999999"/>
    <n v="1.4081077407040246E-2"/>
  </r>
  <r>
    <s v="81 "/>
    <x v="18"/>
    <x v="2"/>
    <x v="6"/>
    <x v="5"/>
    <n v="21523.4"/>
    <n v="1531655.04"/>
    <n v="1.4052380880749754E-2"/>
  </r>
  <r>
    <s v="81 "/>
    <x v="18"/>
    <x v="2"/>
    <x v="6"/>
    <x v="6"/>
    <n v="21224.888999999999"/>
    <n v="1411038.652"/>
    <n v="1.5042032314221821E-2"/>
  </r>
  <r>
    <s v="81 "/>
    <x v="18"/>
    <x v="2"/>
    <x v="6"/>
    <x v="7"/>
    <n v="21641.631000000001"/>
    <n v="1509564.2709999999"/>
    <n v="1.4336342887649069E-2"/>
  </r>
  <r>
    <s v="81 "/>
    <x v="18"/>
    <x v="2"/>
    <x v="6"/>
    <x v="8"/>
    <n v="22790.257000000001"/>
    <n v="1558834.9950000001"/>
    <n v="1.462005733326509E-2"/>
  </r>
  <r>
    <s v="81 "/>
    <x v="18"/>
    <x v="2"/>
    <x v="6"/>
    <x v="9"/>
    <n v="23258.361000000001"/>
    <n v="1621930.2709999999"/>
    <n v="1.433992657752178E-2"/>
  </r>
  <r>
    <s v="81 "/>
    <x v="18"/>
    <x v="2"/>
    <x v="6"/>
    <x v="10"/>
    <n v="23367.155999999999"/>
    <n v="1611568.7879999999"/>
    <n v="1.4499633012252159E-2"/>
  </r>
  <r>
    <s v="81 "/>
    <x v="18"/>
    <x v="2"/>
    <x v="6"/>
    <x v="11"/>
    <n v="22271.748"/>
    <n v="1666974.7009999999"/>
    <n v="1.336057948968237E-2"/>
  </r>
  <r>
    <s v="81 "/>
    <x v="18"/>
    <x v="2"/>
    <x v="6"/>
    <x v="12"/>
    <n v="23432.737000000001"/>
    <n v="1728163.9920000001"/>
    <n v="1.355932487221965E-2"/>
  </r>
  <r>
    <s v="81 "/>
    <x v="18"/>
    <x v="2"/>
    <x v="6"/>
    <x v="13"/>
    <n v="24204.210999999999"/>
    <n v="1743960.8829999999"/>
    <n v="1.3878872649003103E-2"/>
  </r>
  <r>
    <s v="81 "/>
    <x v="18"/>
    <x v="2"/>
    <x v="6"/>
    <x v="14"/>
    <n v="23851.954000000002"/>
    <n v="1809343.5560000001"/>
    <n v="1.3182656174336855E-2"/>
  </r>
  <r>
    <s v="81 "/>
    <x v="18"/>
    <x v="2"/>
    <x v="6"/>
    <x v="15"/>
    <n v="24699.546999999999"/>
    <n v="1909026.4350000001"/>
    <n v="1.2938294906324855E-2"/>
  </r>
  <r>
    <s v="81 "/>
    <x v="18"/>
    <x v="2"/>
    <x v="6"/>
    <x v="16"/>
    <n v="24964.768"/>
    <n v="1918825.0060000001"/>
    <n v="1.3010445414218247E-2"/>
  </r>
  <r>
    <s v="81 "/>
    <x v="18"/>
    <x v="2"/>
    <x v="6"/>
    <x v="17"/>
    <n v="20861.325000000001"/>
    <n v="1743165.6229999999"/>
    <n v="1.1967494496648872E-2"/>
  </r>
  <r>
    <s v="81 "/>
    <x v="18"/>
    <x v="2"/>
    <x v="6"/>
    <x v="18"/>
    <n v="22809.191999999999"/>
    <n v="1865875.274"/>
    <n v="1.2224392657877088E-2"/>
  </r>
  <r>
    <s v="81 "/>
    <x v="18"/>
    <x v="2"/>
    <x v="6"/>
    <x v="19"/>
    <n v="23792.363000000001"/>
    <n v="1928658.429"/>
    <n v="1.2336224311287834E-2"/>
  </r>
  <r>
    <s v="81 "/>
    <x v="18"/>
    <x v="2"/>
    <x v="6"/>
    <x v="20"/>
    <n v="23529.251"/>
    <n v="1991519.7"/>
    <n v="1.1814721692183111E-2"/>
  </r>
  <r>
    <s v="81 "/>
    <x v="18"/>
    <x v="2"/>
    <x v="6"/>
    <x v="21"/>
    <n v="24880.013999999999"/>
    <n v="2059995.5649999999"/>
    <n v="1.2077702701267708E-2"/>
  </r>
  <r>
    <s v="93 "/>
    <x v="19"/>
    <x v="2"/>
    <x v="5"/>
    <x v="0"/>
    <n v="23118.771000000001"/>
    <n v="1289662.122"/>
    <n v="1.7926223160022375E-2"/>
  </r>
  <r>
    <s v="93 "/>
    <x v="19"/>
    <x v="2"/>
    <x v="5"/>
    <x v="1"/>
    <n v="23528.913"/>
    <n v="1335507.8389999999"/>
    <n v="1.7617951997659521E-2"/>
  </r>
  <r>
    <s v="93 "/>
    <x v="19"/>
    <x v="2"/>
    <x v="5"/>
    <x v="2"/>
    <n v="24204.421999999999"/>
    <n v="1368861.9909999999"/>
    <n v="1.7682149229899979E-2"/>
  </r>
  <r>
    <s v="93 "/>
    <x v="19"/>
    <x v="2"/>
    <x v="5"/>
    <x v="3"/>
    <n v="24115.731"/>
    <n v="1469583.898"/>
    <n v="1.6409904213580326E-2"/>
  </r>
  <r>
    <s v="93 "/>
    <x v="19"/>
    <x v="2"/>
    <x v="5"/>
    <x v="4"/>
    <n v="23909.41"/>
    <n v="1532409.5149999999"/>
    <n v="1.5602493828159245E-2"/>
  </r>
  <r>
    <s v="93 "/>
    <x v="19"/>
    <x v="2"/>
    <x v="5"/>
    <x v="5"/>
    <n v="25563.024000000001"/>
    <n v="1531655.04"/>
    <n v="1.6689805035995573E-2"/>
  </r>
  <r>
    <s v="93 "/>
    <x v="19"/>
    <x v="2"/>
    <x v="5"/>
    <x v="6"/>
    <n v="26356.701000000001"/>
    <n v="1411038.652"/>
    <n v="1.8678936230869459E-2"/>
  </r>
  <r>
    <s v="93 "/>
    <x v="19"/>
    <x v="2"/>
    <x v="5"/>
    <x v="7"/>
    <n v="27786.932000000001"/>
    <n v="1509564.2709999999"/>
    <n v="1.8407253360330757E-2"/>
  </r>
  <r>
    <s v="93 "/>
    <x v="19"/>
    <x v="2"/>
    <x v="5"/>
    <x v="8"/>
    <n v="29044.825000000001"/>
    <n v="1558834.9950000001"/>
    <n v="1.8632392198765078E-2"/>
  </r>
  <r>
    <s v="93 "/>
    <x v="19"/>
    <x v="2"/>
    <x v="5"/>
    <x v="9"/>
    <n v="31056.012999999999"/>
    <n v="1621930.2709999999"/>
    <n v="1.9147563588447263E-2"/>
  </r>
  <r>
    <s v="93 "/>
    <x v="19"/>
    <x v="2"/>
    <x v="5"/>
    <x v="10"/>
    <n v="30952.929"/>
    <n v="1611568.7879999999"/>
    <n v="1.9206706676426398E-2"/>
  </r>
  <r>
    <s v="93 "/>
    <x v="19"/>
    <x v="2"/>
    <x v="5"/>
    <x v="11"/>
    <n v="31432.469000000001"/>
    <n v="1666974.7009999999"/>
    <n v="1.8855996423427425E-2"/>
  </r>
  <r>
    <s v="93 "/>
    <x v="19"/>
    <x v="2"/>
    <x v="5"/>
    <x v="12"/>
    <n v="31139.361000000001"/>
    <n v="1728163.9920000001"/>
    <n v="1.8018753511906294E-2"/>
  </r>
  <r>
    <s v="93 "/>
    <x v="19"/>
    <x v="2"/>
    <x v="5"/>
    <x v="13"/>
    <n v="30823.016"/>
    <n v="1743960.8829999999"/>
    <n v="1.7674144128151298E-2"/>
  </r>
  <r>
    <s v="93 "/>
    <x v="19"/>
    <x v="2"/>
    <x v="5"/>
    <x v="14"/>
    <n v="31091.510999999999"/>
    <n v="1809343.5560000001"/>
    <n v="1.7183862565457411E-2"/>
  </r>
  <r>
    <s v="93 "/>
    <x v="19"/>
    <x v="2"/>
    <x v="5"/>
    <x v="15"/>
    <n v="30590.383000000002"/>
    <n v="1909026.4350000001"/>
    <n v="1.602407511973505E-2"/>
  </r>
  <r>
    <s v="93 "/>
    <x v="19"/>
    <x v="2"/>
    <x v="5"/>
    <x v="16"/>
    <n v="32024.281999999999"/>
    <n v="1918825.0060000001"/>
    <n v="1.668952713241845E-2"/>
  </r>
  <r>
    <s v="93 "/>
    <x v="19"/>
    <x v="2"/>
    <x v="5"/>
    <x v="17"/>
    <n v="34720.438000000002"/>
    <n v="1743165.6229999999"/>
    <n v="1.9918037357945305E-2"/>
  </r>
  <r>
    <s v="93 "/>
    <x v="19"/>
    <x v="2"/>
    <x v="5"/>
    <x v="18"/>
    <n v="32688.416000000001"/>
    <n v="1865875.274"/>
    <n v="1.7519078823486248E-2"/>
  </r>
  <r>
    <s v="93 "/>
    <x v="19"/>
    <x v="2"/>
    <x v="5"/>
    <x v="19"/>
    <n v="33345.985999999997"/>
    <n v="1928658.429"/>
    <n v="1.72897312964275E-2"/>
  </r>
  <r>
    <s v="93 "/>
    <x v="19"/>
    <x v="2"/>
    <x v="5"/>
    <x v="20"/>
    <n v="34871.123"/>
    <n v="1991519.7"/>
    <n v="1.7509805702650091E-2"/>
  </r>
  <r>
    <s v="93 "/>
    <x v="19"/>
    <x v="2"/>
    <x v="5"/>
    <x v="21"/>
    <n v="34998.828999999998"/>
    <n v="2059995.5649999999"/>
    <n v="1.698975939300141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F789C-A81D-40C4-A647-0C307C36CED1}" name="TablaDinámica7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">
  <location ref="A3:G26" firstHeaderRow="1" firstDataRow="2" firstDataCol="1" rowPageCount="1" colPageCount="1"/>
  <pivotFields count="8"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numFmtId="10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2" item="2" hier="-1"/>
  </pageFields>
  <dataFields count="1">
    <dataField name="Suma de Participacion" fld="7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E82E8-ADFC-470B-B956-FE362DD5F0B5}" name="TablaDinámica1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E26" firstHeaderRow="1" firstDataRow="2" firstDataCol="1" rowPageCount="1" colPageCount="1"/>
  <pivotFields count="8">
    <pivotField showAll="0"/>
    <pivotField axis="axisCol" showAll="0">
      <items count="21">
        <item x="19"/>
        <item x="0"/>
        <item x="5"/>
        <item x="6"/>
        <item x="3"/>
        <item x="12"/>
        <item x="2"/>
        <item x="4"/>
        <item x="8"/>
        <item x="1"/>
        <item x="18"/>
        <item x="17"/>
        <item x="13"/>
        <item x="16"/>
        <item x="15"/>
        <item x="14"/>
        <item x="9"/>
        <item x="10"/>
        <item x="11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numFmtId="10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1"/>
  </colFields>
  <colItems count="4">
    <i>
      <x v="4"/>
    </i>
    <i>
      <x v="6"/>
    </i>
    <i>
      <x v="7"/>
    </i>
    <i>
      <x v="9"/>
    </i>
  </colItems>
  <pageFields count="1">
    <pageField fld="2" item="1" hier="-1"/>
  </pageFields>
  <dataFields count="1">
    <dataField name="Suma de Participacion" fld="7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AD72798-FFB4-4D3A-B336-DF0F24CDD439}" autoFormatId="16" applyNumberFormats="0" applyBorderFormats="0" applyFontFormats="0" applyPatternFormats="0" applyAlignmentFormats="0" applyWidthHeightFormats="0">
  <queryTableRefresh nextId="4">
    <queryTableFields count="3">
      <queryTableField id="1" name="sector" tableColumnId="1"/>
      <queryTableField id="2" name="año" tableColumnId="2"/>
      <queryTableField id="3" name="pib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57F77F-278D-4D75-B228-B43F688ACBA0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Código" tableColumnId="1"/>
      <queryTableField id="2" name="Sector" tableColumnId="2"/>
      <queryTableField id="6" dataBound="0" tableColumnId="6"/>
      <queryTableField id="9" dataBound="0" tableColumnId="8"/>
      <queryTableField id="3" name="Año" tableColumnId="3"/>
      <queryTableField id="4" name="PIB" tableColumnId="4"/>
      <queryTableField id="5" name="PIB TOTAL" tableColumnId="5"/>
      <queryTableField id="8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D713C7A3-F559-43CE-8FBB-A88BC9834586}" autoFormatId="16" applyNumberFormats="0" applyBorderFormats="0" applyFontFormats="0" applyPatternFormats="0" applyAlignmentFormats="0" applyWidthHeightFormats="0">
  <queryTableRefresh nextId="3">
    <queryTableFields count="2">
      <queryTableField id="1" name="Año" tableColumnId="1"/>
      <queryTableField id="2" name="PIB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1B1F1-AEB8-4D24-BAC9-16C8C891FB5A}" name="Tabla1" displayName="Tabla1" ref="A1:AT5" totalsRowShown="0" headerRowDxfId="58" headerRowBorderDxfId="57" tableBorderDxfId="56" totalsRowBorderDxfId="55">
  <autoFilter ref="A1:AT5" xr:uid="{F8F1B1F1-AEB8-4D24-BAC9-16C8C891FB5A}"/>
  <tableColumns count="46">
    <tableColumn id="1" xr3:uid="{4ADA907C-3E0A-4494-83C1-26D74E4F559E}" name="Columna1" dataDxfId="54"/>
    <tableColumn id="2" xr3:uid="{B9648E59-4977-498C-8DB4-2CB93CCACB6C}" name="1980" dataDxfId="53"/>
    <tableColumn id="3" xr3:uid="{3EE6B518-9A98-4EC8-AEFF-4A9B6391E017}" name="1981" dataDxfId="52"/>
    <tableColumn id="4" xr3:uid="{74887D74-0488-4C33-B3AC-65696EEEC62A}" name="1982" dataDxfId="51"/>
    <tableColumn id="5" xr3:uid="{CB833440-48D6-4A27-8E75-A47C8EF31830}" name="1983" dataDxfId="50"/>
    <tableColumn id="6" xr3:uid="{B5AAC3A0-A810-4666-AE3A-59543357EEF4}" name="1984" dataDxfId="49"/>
    <tableColumn id="7" xr3:uid="{838C570D-C4B8-453C-9112-833FE29999BB}" name="1985" dataDxfId="48"/>
    <tableColumn id="8" xr3:uid="{7243D9CE-EDB7-471F-B499-E888DE336C83}" name="1986" dataDxfId="47"/>
    <tableColumn id="9" xr3:uid="{16AA5C50-DBD9-42FD-B4C2-992BA9C1B689}" name="1987" dataDxfId="46"/>
    <tableColumn id="10" xr3:uid="{1E90A0B1-05B9-4A62-9CC5-72C85A06D45A}" name="1988" dataDxfId="45"/>
    <tableColumn id="11" xr3:uid="{6E8FEA66-3B5A-42C9-AABC-5C91BB4DDBA9}" name="1989" dataDxfId="44"/>
    <tableColumn id="12" xr3:uid="{42D6A9FC-AF62-46BA-B71F-2D0032E6B076}" name="1990" dataDxfId="43"/>
    <tableColumn id="13" xr3:uid="{19660930-0E2D-4F79-A912-087861262E72}" name="1991" dataDxfId="42"/>
    <tableColumn id="14" xr3:uid="{ADC3FA77-1D76-4435-81EC-4A93C4620317}" name="1992" dataDxfId="41"/>
    <tableColumn id="15" xr3:uid="{1E2DE1C9-EA0D-45EC-91EB-B859A48F7AB3}" name="1993" dataDxfId="40"/>
    <tableColumn id="16" xr3:uid="{39AF246F-E550-4D89-B9C6-6864106C1429}" name="1994" dataDxfId="39"/>
    <tableColumn id="17" xr3:uid="{249B367F-05CE-445C-98C7-2D5791CC278D}" name="1995" dataDxfId="38"/>
    <tableColumn id="18" xr3:uid="{F66CC4FA-CC84-4E04-A5EE-3FE6953EAD38}" name="1996" dataDxfId="37"/>
    <tableColumn id="19" xr3:uid="{DA6F1776-5838-4D59-ACE2-9544EA5F87D6}" name="1997" dataDxfId="36"/>
    <tableColumn id="20" xr3:uid="{D592189A-0518-4020-AD44-1360C892567D}" name="1998" dataDxfId="35"/>
    <tableColumn id="21" xr3:uid="{EC94A00C-AB62-4C25-AC4D-213FFB4141AD}" name="1999" dataDxfId="34"/>
    <tableColumn id="22" xr3:uid="{8D06895E-FDFB-4FA2-9EF8-E348158B7E3A}" name="2000" dataDxfId="33"/>
    <tableColumn id="23" xr3:uid="{EBD14ABD-4CC8-4701-9820-EE2824D6BD8A}" name="2001" dataDxfId="32"/>
    <tableColumn id="24" xr3:uid="{689D6377-32D5-4CA5-9600-B08739967184}" name="2002" dataDxfId="31"/>
    <tableColumn id="25" xr3:uid="{47FA1A99-373E-4651-8859-9F00E5B7C62F}" name="2003" dataDxfId="30"/>
    <tableColumn id="26" xr3:uid="{6910ACA4-CF2D-4E8C-9A7F-84EE425A42E3}" name="2004" dataDxfId="29"/>
    <tableColumn id="27" xr3:uid="{6A2E9CD8-0353-4188-AD33-4D71734EA447}" name="2005" dataDxfId="28"/>
    <tableColumn id="28" xr3:uid="{394E411A-9577-4AE8-BE2E-778F2F86A67D}" name="2006" dataDxfId="27"/>
    <tableColumn id="29" xr3:uid="{57245E43-2763-4EA4-8BE0-C0B4182485FF}" name="2007" dataDxfId="26"/>
    <tableColumn id="30" xr3:uid="{B24BBFE4-B1FD-4D33-96E4-B26AAC6943E8}" name="2008" dataDxfId="25"/>
    <tableColumn id="31" xr3:uid="{7E2917D8-E8B0-4A01-A3C9-E6F59265E03D}" name="2009" dataDxfId="24"/>
    <tableColumn id="32" xr3:uid="{8A059EBE-5BDE-498E-9E5D-E4693B83BEBC}" name="2010" dataDxfId="23"/>
    <tableColumn id="33" xr3:uid="{001D93CC-6654-4EF8-B07C-9CC19175E476}" name="2011" dataDxfId="22"/>
    <tableColumn id="34" xr3:uid="{E9702FF7-A817-4619-95A2-D07980A436F9}" name="2012" dataDxfId="21"/>
    <tableColumn id="35" xr3:uid="{739BB83B-3613-4CF6-94C0-32F301FD284E}" name="2013" dataDxfId="20"/>
    <tableColumn id="36" xr3:uid="{CFDFBCAB-3B17-4198-A619-9C86F85CC8A8}" name="2014" dataDxfId="19"/>
    <tableColumn id="37" xr3:uid="{60C57EC9-F0A5-47F2-B25F-B76E0279ACF7}" name="2015" dataDxfId="18"/>
    <tableColumn id="38" xr3:uid="{A908464F-3BFF-43C2-869F-F129F5CF5F41}" name="2016" dataDxfId="17"/>
    <tableColumn id="39" xr3:uid="{1E1DF5E0-21D8-454B-962C-B196FE75C688}" name="2017" dataDxfId="16"/>
    <tableColumn id="40" xr3:uid="{8A6033D1-D40C-4039-B741-20420031ED5D}" name="2018" dataDxfId="15"/>
    <tableColumn id="41" xr3:uid="{51671449-7A63-4E7A-BBFD-07484C5C6E23}" name="2019" dataDxfId="14"/>
    <tableColumn id="42" xr3:uid="{28D5D991-C879-4BCA-A018-31E7AD834059}" name="2020" dataDxfId="13"/>
    <tableColumn id="43" xr3:uid="{BDCAB7E7-8F4F-4276-B823-86EF39213A60}" name="2021" dataDxfId="12"/>
    <tableColumn id="44" xr3:uid="{A811A48C-D57E-44A3-82BC-056B58E616E8}" name="2022" dataDxfId="11"/>
    <tableColumn id="45" xr3:uid="{64FFDEF2-41B2-4279-9E75-164E09A067B8}" name="2023" dataDxfId="10"/>
    <tableColumn id="46" xr3:uid="{CC3C9EBB-230D-4096-B6CE-F7103B963DA4}" name="2024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211DA9-F520-447B-AC80-A4D74B22ADD5}" name="Tabla1_1" displayName="Tabla1_1" ref="A1:C181" tableType="queryTable" totalsRowShown="0">
  <autoFilter ref="A1:C181" xr:uid="{B1211DA9-F520-447B-AC80-A4D74B22ADD5}"/>
  <tableColumns count="3">
    <tableColumn id="1" xr3:uid="{D28BC988-E505-4320-A061-0DC39374A1BE}" uniqueName="1" name="sector" queryTableFieldId="1" dataDxfId="8"/>
    <tableColumn id="2" xr3:uid="{7AFB1AD7-8698-4918-8DD6-AAE642F177AC}" uniqueName="2" name="año" queryTableFieldId="2"/>
    <tableColumn id="3" xr3:uid="{DA97BF44-6BBA-4942-9AF1-FBC28FA9A56F}" uniqueName="3" name="pib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C7390-E755-4F6F-A74C-C2553CEC621F}" name="Tabla3" displayName="Tabla3" ref="A1:W22" totalsRowShown="0" headerRowDxfId="7">
  <autoFilter ref="A1:W22" xr:uid="{967C7390-E755-4F6F-A74C-C2553CEC621F}"/>
  <tableColumns count="23">
    <tableColumn id="1" xr3:uid="{CB9BA269-4617-4918-8B9A-3573EFC880CD}" name="Concepto" dataDxfId="6"/>
    <tableColumn id="2" xr3:uid="{2CA3F9CF-BDF7-4D82-B94D-04E195A51562}" name="2003"/>
    <tableColumn id="3" xr3:uid="{023DFF8B-107D-410D-A95E-9B5CD92F6019}" name="2004"/>
    <tableColumn id="4" xr3:uid="{D91B320F-5769-4E21-97E0-013B64F391F5}" name="2005"/>
    <tableColumn id="5" xr3:uid="{38D73907-5D77-4671-A44C-5E519D7059C7}" name="2006"/>
    <tableColumn id="6" xr3:uid="{0B1AFDA5-4361-477F-82D7-FFB64E811D66}" name="2007"/>
    <tableColumn id="7" xr3:uid="{B26662DE-84CE-41C0-BAA5-BAA7A21FDB4F}" name="2008"/>
    <tableColumn id="8" xr3:uid="{9BE80D9E-09ED-4861-B116-9FB9C51A3B83}" name="2009"/>
    <tableColumn id="9" xr3:uid="{08BFBD8C-D9AD-49C9-AF76-824F0CE07153}" name="2010"/>
    <tableColumn id="10" xr3:uid="{10B161AD-819D-4FDE-BC75-266CFDBF926C}" name="2011"/>
    <tableColumn id="11" xr3:uid="{9112C1B8-C93A-4C44-8653-4F4BBF1D535E}" name="2012"/>
    <tableColumn id="12" xr3:uid="{F6D41304-30BD-4BFB-A68E-0053D190B3F0}" name="2013"/>
    <tableColumn id="13" xr3:uid="{34941CD5-6AB8-49EC-B16B-A64415062AB3}" name="2014"/>
    <tableColumn id="14" xr3:uid="{4B99DE89-1B89-429F-A07F-21EBF8613BC9}" name="2015"/>
    <tableColumn id="15" xr3:uid="{D82F0B03-035A-4581-89BA-F660ECC6C786}" name="2016"/>
    <tableColumn id="16" xr3:uid="{23D468AD-F7D3-4FAA-9C8E-5AE42CFA9C76}" name="2017"/>
    <tableColumn id="17" xr3:uid="{FF00D3D7-CA64-48B0-93E6-695ECA24B5B3}" name="2018"/>
    <tableColumn id="18" xr3:uid="{DEBCFD36-FAFC-469D-B887-152B61570A5E}" name="2019"/>
    <tableColumn id="19" xr3:uid="{051EE653-5393-4606-A555-C0751D21675D}" name="2020"/>
    <tableColumn id="20" xr3:uid="{F59CC66B-39FB-4064-B213-C483D5C09478}" name="2021"/>
    <tableColumn id="21" xr3:uid="{39C21D8D-0C84-4272-96A7-1F9DEFACE02D}" name="2022"/>
    <tableColumn id="22" xr3:uid="{95889389-9E58-46D6-8431-D812571516FC}" name="2023"/>
    <tableColumn id="23" xr3:uid="{D3E2EE12-8F33-47EE-BDE3-0C439297E1D4}" name="20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CDB566-21E3-464F-84E2-426FC7989492}" name="PIB_ACTIVIDADES" displayName="PIB_ACTIVIDADES" ref="A1:H441" tableType="queryTable" totalsRowShown="0">
  <autoFilter ref="A1:H441" xr:uid="{81CDB566-21E3-464F-84E2-426FC7989492}">
    <filterColumn colId="2">
      <filters>
        <filter val="Actividades Secundarias"/>
      </filters>
    </filterColumn>
  </autoFilter>
  <tableColumns count="8">
    <tableColumn id="1" xr3:uid="{43F3AD34-173C-43E5-B314-A7DE5265FA24}" uniqueName="1" name="Código" queryTableFieldId="1" dataDxfId="5"/>
    <tableColumn id="2" xr3:uid="{EA4A4988-29AB-43B2-9D03-5F6004C98961}" uniqueName="2" name="Sector" queryTableFieldId="2" dataDxfId="4"/>
    <tableColumn id="6" xr3:uid="{77582EC9-5149-43DD-A0F8-496D02170D95}" uniqueName="6" name="Actividad" queryTableFieldId="6" dataDxfId="3"/>
    <tableColumn id="8" xr3:uid="{FBC0C845-4CF7-49B4-AE02-6002E19CF429}" uniqueName="8" name="Grupo terciario" queryTableFieldId="9" dataDxfId="2"/>
    <tableColumn id="3" xr3:uid="{B3E15537-A31B-4B3C-86C6-37F57E612327}" uniqueName="3" name="Año" queryTableFieldId="3" dataDxfId="1"/>
    <tableColumn id="4" xr3:uid="{23ECC389-30BB-4231-8BFC-E5A269F01F6C}" uniqueName="4" name="PIB" queryTableFieldId="4"/>
    <tableColumn id="5" xr3:uid="{F52E4298-2EC4-4AC0-BA4E-BBE0D98F27F2}" uniqueName="5" name="PIB TOTAL" queryTableFieldId="5"/>
    <tableColumn id="7" xr3:uid="{77293A09-F42E-4B4B-8740-4F8008C8D266}" uniqueName="7" name="Participacion" queryTableFieldId="8" dataDxfId="0">
      <calculatedColumnFormula>PIB_ACTIVIDADES[[#This Row],[PIB]]/PIB_ACTIVIDADES[[#This Row],[PIB TOTAL]]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372B94-73C0-400B-AEA9-568A553191C7}" name="PIB_TOTAL" displayName="PIB_TOTAL" ref="A1:B23" tableType="queryTable" totalsRowShown="0">
  <autoFilter ref="A1:B23" xr:uid="{D1372B94-73C0-400B-AEA9-568A553191C7}"/>
  <tableColumns count="2">
    <tableColumn id="1" xr3:uid="{6867D812-FFD6-422A-B7AF-1F85E03BCB6D}" uniqueName="1" name="Año" queryTableFieldId="1" dataDxfId="59"/>
    <tableColumn id="2" xr3:uid="{910C230A-0994-40B9-9DF5-79622C75DBB8}" uniqueName="2" name="PIB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E7C-8C5D-47BB-A032-D27433D47580}">
  <dimension ref="B23:U27"/>
  <sheetViews>
    <sheetView zoomScale="145" workbookViewId="0">
      <selection activeCell="E26" sqref="E26"/>
    </sheetView>
  </sheetViews>
  <sheetFormatPr baseColWidth="10" defaultColWidth="11.44140625" defaultRowHeight="14.4" x14ac:dyDescent="0.3"/>
  <sheetData>
    <row r="23" spans="2:21" x14ac:dyDescent="0.3">
      <c r="B23" t="s">
        <v>0</v>
      </c>
      <c r="J23" t="s">
        <v>0</v>
      </c>
      <c r="U23" t="s">
        <v>0</v>
      </c>
    </row>
    <row r="25" spans="2:21" x14ac:dyDescent="0.3">
      <c r="B25" s="15" t="s">
        <v>1</v>
      </c>
      <c r="C25" s="15" t="s">
        <v>2</v>
      </c>
    </row>
    <row r="26" spans="2:21" x14ac:dyDescent="0.3">
      <c r="B26" s="15" t="s">
        <v>3</v>
      </c>
      <c r="C26" s="16">
        <f>(pib_niveles!C46 / pib_niveles!C2) ^ (1/44) - 1</f>
        <v>2.408522716864514E-2</v>
      </c>
    </row>
    <row r="27" spans="2:21" x14ac:dyDescent="0.3">
      <c r="B27" s="15" t="s">
        <v>4</v>
      </c>
      <c r="C27" s="16">
        <f>(pib_niveles!D46 / pib_niveles!D2) ^ (1/44) - 1</f>
        <v>3.1509453563637102E-2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32FE-C0AA-4704-AC57-24B63F897A7A}">
  <dimension ref="A1:G46"/>
  <sheetViews>
    <sheetView workbookViewId="0">
      <selection activeCell="E48" sqref="E48"/>
    </sheetView>
  </sheetViews>
  <sheetFormatPr baseColWidth="10" defaultColWidth="11.44140625" defaultRowHeight="14.4" x14ac:dyDescent="0.3"/>
  <cols>
    <col min="2" max="2" width="11.44140625" style="18"/>
    <col min="3" max="3" width="13.5546875" customWidth="1"/>
    <col min="4" max="4" width="15.33203125" style="19" customWidth="1"/>
    <col min="5" max="5" width="13.44140625" customWidth="1"/>
    <col min="6" max="6" width="12.5546875" style="19" customWidth="1"/>
    <col min="7" max="7" width="12.88671875" customWidth="1"/>
  </cols>
  <sheetData>
    <row r="1" spans="1:7" x14ac:dyDescent="0.3">
      <c r="A1" t="s">
        <v>5</v>
      </c>
      <c r="B1" s="18" t="s">
        <v>6</v>
      </c>
      <c r="C1" t="s">
        <v>7</v>
      </c>
      <c r="D1" s="19" t="s">
        <v>8</v>
      </c>
      <c r="E1" t="s">
        <v>9</v>
      </c>
      <c r="F1" s="19" t="s">
        <v>10</v>
      </c>
      <c r="G1" s="18" t="s">
        <v>11</v>
      </c>
    </row>
    <row r="2" spans="1:7" x14ac:dyDescent="0.3">
      <c r="A2" s="11">
        <v>1980</v>
      </c>
      <c r="B2" s="18">
        <v>0.45619856357797267</v>
      </c>
      <c r="C2" s="17">
        <v>245612.78699457401</v>
      </c>
      <c r="D2" s="20">
        <v>0.87435317487477338</v>
      </c>
      <c r="F2" s="19">
        <v>6</v>
      </c>
      <c r="G2" s="18"/>
    </row>
    <row r="3" spans="1:7" x14ac:dyDescent="0.3">
      <c r="A3" s="11">
        <v>1981</v>
      </c>
      <c r="B3" s="18">
        <v>0.45232767102632504</v>
      </c>
      <c r="C3" s="17">
        <v>266243.31250976346</v>
      </c>
      <c r="D3" s="20">
        <v>0.8789120446946368</v>
      </c>
      <c r="F3" s="19">
        <v>6.2</v>
      </c>
      <c r="G3" s="18"/>
    </row>
    <row r="4" spans="1:7" x14ac:dyDescent="0.3">
      <c r="A4" s="11">
        <v>1982</v>
      </c>
      <c r="B4" s="18">
        <v>0.45651343377290471</v>
      </c>
      <c r="C4" s="17">
        <v>259786.40046823764</v>
      </c>
      <c r="D4" s="20">
        <v>0.88347091451450022</v>
      </c>
      <c r="F4" s="19">
        <v>6.4</v>
      </c>
      <c r="G4" s="18"/>
    </row>
    <row r="5" spans="1:7" x14ac:dyDescent="0.3">
      <c r="A5" s="11">
        <v>1983</v>
      </c>
      <c r="B5" s="18">
        <v>0.47740259869774332</v>
      </c>
      <c r="C5" s="17">
        <v>238941.84376441812</v>
      </c>
      <c r="D5" s="20">
        <v>0.88802978433436364</v>
      </c>
      <c r="F5" s="19">
        <v>6.6</v>
      </c>
      <c r="G5" s="18"/>
    </row>
    <row r="6" spans="1:7" x14ac:dyDescent="0.3">
      <c r="A6" s="11">
        <v>1984</v>
      </c>
      <c r="B6" s="18">
        <v>0.47444708550458659</v>
      </c>
      <c r="C6" s="17">
        <v>243399.42645254135</v>
      </c>
      <c r="D6" s="20">
        <v>0.89258865415422706</v>
      </c>
      <c r="F6" s="19">
        <v>6.8000000000000007</v>
      </c>
      <c r="G6" s="18"/>
    </row>
    <row r="7" spans="1:7" x14ac:dyDescent="0.3">
      <c r="A7" s="11">
        <v>1985</v>
      </c>
      <c r="B7" s="18">
        <v>0.46740666905285999</v>
      </c>
      <c r="C7" s="17">
        <v>243548.87428087543</v>
      </c>
      <c r="D7" s="20">
        <v>0.89714752397409048</v>
      </c>
      <c r="F7" s="19">
        <v>7.0000000000000009</v>
      </c>
      <c r="G7" s="18"/>
    </row>
    <row r="8" spans="1:7" x14ac:dyDescent="0.3">
      <c r="A8" s="11">
        <v>1986</v>
      </c>
      <c r="B8" s="18">
        <v>0.47944060830062729</v>
      </c>
      <c r="C8" s="17">
        <v>226863.84656985669</v>
      </c>
      <c r="D8" s="20">
        <v>0.9017063937939539</v>
      </c>
      <c r="F8" s="19">
        <v>7.2000000000000011</v>
      </c>
      <c r="G8" s="18"/>
    </row>
    <row r="9" spans="1:7" x14ac:dyDescent="0.3">
      <c r="A9" s="11">
        <v>1987</v>
      </c>
      <c r="B9" s="18">
        <v>0.4757804327672378</v>
      </c>
      <c r="C9" s="17">
        <v>227626.03774917813</v>
      </c>
      <c r="D9" s="20">
        <v>0.90626526361381732</v>
      </c>
      <c r="F9" s="19">
        <v>7.4000000000000012</v>
      </c>
      <c r="G9" s="18"/>
    </row>
    <row r="10" spans="1:7" x14ac:dyDescent="0.3">
      <c r="A10" s="11">
        <v>1988</v>
      </c>
      <c r="B10" s="18">
        <v>0.47711973562232685</v>
      </c>
      <c r="C10" s="17">
        <v>226283.33704776762</v>
      </c>
      <c r="D10" s="20">
        <v>0.91082413343368074</v>
      </c>
      <c r="F10" s="19">
        <v>7.6000000000000014</v>
      </c>
      <c r="G10" s="18"/>
    </row>
    <row r="11" spans="1:7" x14ac:dyDescent="0.3">
      <c r="A11" s="11">
        <v>1989</v>
      </c>
      <c r="B11" s="18">
        <v>0.48071297157427922</v>
      </c>
      <c r="C11" s="17">
        <v>231086.87143751376</v>
      </c>
      <c r="D11" s="20">
        <v>0.91538300325354416</v>
      </c>
      <c r="F11" s="19">
        <v>7.8000000000000016</v>
      </c>
      <c r="G11" s="18"/>
    </row>
    <row r="12" spans="1:7" x14ac:dyDescent="0.3">
      <c r="A12" s="11">
        <v>1990</v>
      </c>
      <c r="B12" s="18">
        <v>0.48014500371902069</v>
      </c>
      <c r="C12" s="17">
        <v>239774.21838231396</v>
      </c>
      <c r="D12" s="20">
        <v>0.91994187307340802</v>
      </c>
      <c r="F12" s="19">
        <v>8</v>
      </c>
      <c r="G12" s="18"/>
    </row>
    <row r="13" spans="1:7" x14ac:dyDescent="0.3">
      <c r="A13" s="11">
        <v>1991</v>
      </c>
      <c r="B13" s="18">
        <v>0.4895286274939773</v>
      </c>
      <c r="C13" s="17">
        <v>244921.54891387137</v>
      </c>
      <c r="D13" s="20">
        <v>0.92185395123291902</v>
      </c>
      <c r="F13" s="19">
        <v>8.0839999999999996</v>
      </c>
      <c r="G13" s="18"/>
    </row>
    <row r="14" spans="1:7" x14ac:dyDescent="0.3">
      <c r="A14" s="11">
        <v>1992</v>
      </c>
      <c r="B14" s="18">
        <v>0.49325517395867474</v>
      </c>
      <c r="C14" s="17">
        <v>249672.27496859737</v>
      </c>
      <c r="D14" s="20">
        <v>0.92376602939243002</v>
      </c>
      <c r="F14" s="19">
        <v>8.1679999999999993</v>
      </c>
      <c r="G14" s="18"/>
    </row>
    <row r="15" spans="1:7" x14ac:dyDescent="0.3">
      <c r="A15" s="11">
        <v>1993</v>
      </c>
      <c r="B15" s="18">
        <v>0.50466914238787985</v>
      </c>
      <c r="C15" s="17">
        <v>253399.52715647884</v>
      </c>
      <c r="D15" s="20">
        <v>0.92567810755194102</v>
      </c>
      <c r="F15" s="19">
        <v>8.2519999999999989</v>
      </c>
      <c r="G15" s="18"/>
    </row>
    <row r="16" spans="1:7" x14ac:dyDescent="0.3">
      <c r="A16" s="11">
        <v>1994</v>
      </c>
      <c r="B16" s="18">
        <v>0.50416515648330984</v>
      </c>
      <c r="C16" s="17">
        <v>261000.57909023046</v>
      </c>
      <c r="D16" s="20">
        <v>0.92759018571145202</v>
      </c>
      <c r="F16" s="19">
        <v>8.3359999999999985</v>
      </c>
      <c r="G16" s="18"/>
    </row>
    <row r="17" spans="1:7" x14ac:dyDescent="0.3">
      <c r="A17" s="11">
        <v>1995</v>
      </c>
      <c r="B17" s="18">
        <v>0.52141756414198603</v>
      </c>
      <c r="C17" s="17">
        <v>237795.63982204834</v>
      </c>
      <c r="D17" s="20">
        <v>0.92950226387096302</v>
      </c>
      <c r="F17" s="19">
        <v>8.4199999999999982</v>
      </c>
      <c r="G17" s="18"/>
    </row>
    <row r="18" spans="1:7" x14ac:dyDescent="0.3">
      <c r="A18" s="11">
        <v>1996</v>
      </c>
      <c r="B18" s="18">
        <v>0.50248703123537508</v>
      </c>
      <c r="C18" s="17">
        <v>247781.04043121677</v>
      </c>
      <c r="D18" s="20">
        <v>0.93041658916570424</v>
      </c>
      <c r="F18" s="19">
        <v>8.5039999999999978</v>
      </c>
      <c r="G18" s="18"/>
    </row>
    <row r="19" spans="1:7" x14ac:dyDescent="0.3">
      <c r="A19" s="11">
        <v>1997</v>
      </c>
      <c r="B19" s="18">
        <v>0.49456396655109591</v>
      </c>
      <c r="C19" s="17">
        <v>266641.71705584211</v>
      </c>
      <c r="D19" s="20">
        <v>0.93133091446044547</v>
      </c>
      <c r="F19" s="19">
        <v>8.5879999999999974</v>
      </c>
      <c r="G19" s="18"/>
    </row>
    <row r="20" spans="1:7" x14ac:dyDescent="0.3">
      <c r="A20" s="11">
        <v>1998</v>
      </c>
      <c r="B20" s="18">
        <v>0.49492283414168531</v>
      </c>
      <c r="C20" s="17">
        <v>284450.01045828412</v>
      </c>
      <c r="D20" s="20">
        <v>0.93224523975518669</v>
      </c>
      <c r="F20" s="19">
        <v>8.671999999999997</v>
      </c>
      <c r="G20" s="18"/>
    </row>
    <row r="21" spans="1:7" x14ac:dyDescent="0.3">
      <c r="A21" s="11">
        <v>1999</v>
      </c>
      <c r="B21" s="18">
        <v>0.49522024147624949</v>
      </c>
      <c r="C21" s="17">
        <v>295808.70471776935</v>
      </c>
      <c r="D21" s="20">
        <v>0.93315956504992792</v>
      </c>
      <c r="E21">
        <v>2485.8320091125142</v>
      </c>
      <c r="F21" s="19">
        <v>8.7559999999999967</v>
      </c>
      <c r="G21" s="18"/>
    </row>
    <row r="22" spans="1:7" x14ac:dyDescent="0.3">
      <c r="A22" s="11">
        <v>2000</v>
      </c>
      <c r="B22" s="18">
        <v>0.4981537909993396</v>
      </c>
      <c r="C22" s="17">
        <v>310002.71851225005</v>
      </c>
      <c r="D22" s="20">
        <v>0.93407389034466914</v>
      </c>
      <c r="E22">
        <v>3140.1776628805592</v>
      </c>
      <c r="F22" s="19">
        <v>8.84</v>
      </c>
      <c r="G22" s="18"/>
    </row>
    <row r="23" spans="1:7" x14ac:dyDescent="0.3">
      <c r="A23" s="11">
        <v>2001</v>
      </c>
      <c r="B23" s="18">
        <v>0.49580374197496341</v>
      </c>
      <c r="C23" s="17">
        <v>304088.50382323499</v>
      </c>
      <c r="D23" s="20">
        <v>0.93597935368785912</v>
      </c>
      <c r="E23">
        <v>4176.9768692845619</v>
      </c>
      <c r="F23" s="19">
        <v>8.9369999999999994</v>
      </c>
      <c r="G23" s="18"/>
    </row>
    <row r="24" spans="1:7" x14ac:dyDescent="0.3">
      <c r="A24" s="11">
        <v>2002</v>
      </c>
      <c r="B24" s="18">
        <v>0.50046331033756941</v>
      </c>
      <c r="C24" s="17">
        <v>304212.46347756003</v>
      </c>
      <c r="D24" s="20">
        <v>0.93788481703104909</v>
      </c>
      <c r="E24">
        <v>3421.042177050917</v>
      </c>
      <c r="F24" s="19">
        <v>9.0339999999999989</v>
      </c>
      <c r="G24" s="18"/>
    </row>
    <row r="25" spans="1:7" x14ac:dyDescent="0.3">
      <c r="A25" s="11">
        <v>2003</v>
      </c>
      <c r="B25" s="18">
        <v>0.49775042861962876</v>
      </c>
      <c r="C25" s="17">
        <v>310360.32892377814</v>
      </c>
      <c r="D25" s="20">
        <v>0.93979028037423906</v>
      </c>
      <c r="E25">
        <v>3028.0757343583618</v>
      </c>
      <c r="F25" s="19">
        <v>9.1309999999999985</v>
      </c>
      <c r="G25" s="18"/>
    </row>
    <row r="26" spans="1:7" x14ac:dyDescent="0.3">
      <c r="A26" s="11">
        <v>2004</v>
      </c>
      <c r="B26" s="18">
        <v>0.5042264967192005</v>
      </c>
      <c r="C26" s="17">
        <v>315163.98104354873</v>
      </c>
      <c r="D26" s="20">
        <v>0.94169574371742903</v>
      </c>
      <c r="E26">
        <v>1781.1753101407489</v>
      </c>
      <c r="F26" s="19">
        <v>9.227999999999998</v>
      </c>
      <c r="G26" s="18"/>
    </row>
    <row r="27" spans="1:7" x14ac:dyDescent="0.3">
      <c r="A27" s="11">
        <v>2005</v>
      </c>
      <c r="B27" s="18">
        <v>0.50345348218526143</v>
      </c>
      <c r="C27" s="17">
        <v>316985.36672119331</v>
      </c>
      <c r="D27" s="20">
        <v>0.94360120706061879</v>
      </c>
      <c r="E27">
        <v>5929.5453430771486</v>
      </c>
      <c r="F27" s="19">
        <v>9.3249999999999975</v>
      </c>
      <c r="G27" s="18"/>
    </row>
    <row r="28" spans="1:7" x14ac:dyDescent="0.3">
      <c r="A28" s="11">
        <v>2006</v>
      </c>
      <c r="B28" s="18">
        <v>0.49992076804858954</v>
      </c>
      <c r="C28" s="17">
        <v>334067.0491869984</v>
      </c>
      <c r="D28" s="20">
        <v>0.94425089227080472</v>
      </c>
      <c r="E28">
        <v>2054.4539734272225</v>
      </c>
      <c r="F28" s="19">
        <v>9.421999999999997</v>
      </c>
      <c r="G28" s="18"/>
    </row>
    <row r="29" spans="1:7" x14ac:dyDescent="0.3">
      <c r="A29" s="11">
        <v>2007</v>
      </c>
      <c r="B29" s="18">
        <v>0.50568487497286263</v>
      </c>
      <c r="C29" s="17">
        <v>341831.47666486725</v>
      </c>
      <c r="D29" s="20">
        <v>0.94490057748099066</v>
      </c>
      <c r="E29">
        <v>4161.2525912286183</v>
      </c>
      <c r="F29" s="19">
        <v>9.5189999999999966</v>
      </c>
      <c r="G29" s="18">
        <v>0.24169789301672528</v>
      </c>
    </row>
    <row r="30" spans="1:7" x14ac:dyDescent="0.3">
      <c r="A30" s="11">
        <v>2008</v>
      </c>
      <c r="B30" s="18">
        <v>0.51437120332264896</v>
      </c>
      <c r="C30" s="17">
        <v>335094.06734588818</v>
      </c>
      <c r="D30" s="20">
        <v>0.94555026269117659</v>
      </c>
      <c r="E30">
        <v>1898.4695442718689</v>
      </c>
      <c r="F30" s="19">
        <v>9.6159999999999961</v>
      </c>
      <c r="G30" s="18">
        <v>0.25831507265202674</v>
      </c>
    </row>
    <row r="31" spans="1:7" x14ac:dyDescent="0.3">
      <c r="A31" s="11">
        <v>2009</v>
      </c>
      <c r="B31" s="18">
        <v>0.51532147327740241</v>
      </c>
      <c r="C31" s="17">
        <v>302790.72631929745</v>
      </c>
      <c r="D31" s="20">
        <v>0.94619994790136253</v>
      </c>
      <c r="E31">
        <v>1075.7035096436155</v>
      </c>
      <c r="F31" s="19">
        <v>9.7129999999999956</v>
      </c>
      <c r="G31" s="18">
        <v>0.2536160518801307</v>
      </c>
    </row>
    <row r="32" spans="1:7" x14ac:dyDescent="0.3">
      <c r="A32" s="11">
        <v>2010</v>
      </c>
      <c r="B32" s="18">
        <v>0.51646960250558294</v>
      </c>
      <c r="C32" s="17">
        <v>317561.66735631815</v>
      </c>
      <c r="D32" s="20">
        <v>0.94684963311154846</v>
      </c>
      <c r="E32">
        <v>5412.0180292752575</v>
      </c>
      <c r="F32" s="19">
        <v>9.81</v>
      </c>
      <c r="G32" s="18">
        <v>0.263157690938985</v>
      </c>
    </row>
    <row r="33" spans="1:7" x14ac:dyDescent="0.3">
      <c r="A33" s="11">
        <v>2011</v>
      </c>
      <c r="B33" s="18">
        <v>0.52384868803897999</v>
      </c>
      <c r="C33" s="17">
        <v>321099.63237513026</v>
      </c>
      <c r="D33" s="20">
        <v>0.94804852514893023</v>
      </c>
      <c r="E33">
        <v>1835.5724139438794</v>
      </c>
      <c r="F33" s="19">
        <v>9.8000000000000007</v>
      </c>
      <c r="G33" s="18">
        <v>0.28056137646630624</v>
      </c>
    </row>
    <row r="34" spans="1:7" x14ac:dyDescent="0.3">
      <c r="A34" s="11">
        <v>2012</v>
      </c>
      <c r="B34" s="18">
        <v>0.53169711942567233</v>
      </c>
      <c r="C34" s="17">
        <v>327175.56429630314</v>
      </c>
      <c r="D34" s="20">
        <v>0.949247417186312</v>
      </c>
      <c r="E34">
        <v>1374.7920802704296</v>
      </c>
      <c r="F34" s="19">
        <v>9.9</v>
      </c>
      <c r="G34" s="18">
        <v>0.28661690969220754</v>
      </c>
    </row>
    <row r="35" spans="1:7" x14ac:dyDescent="0.3">
      <c r="A35" s="11">
        <v>2013</v>
      </c>
      <c r="B35" s="18">
        <v>0.54038156638709989</v>
      </c>
      <c r="C35" s="17">
        <v>318608.13253214513</v>
      </c>
      <c r="D35" s="20">
        <v>0.95044630922369377</v>
      </c>
      <c r="E35">
        <v>2336.7907904316717</v>
      </c>
      <c r="F35" s="19">
        <v>10</v>
      </c>
      <c r="G35" s="18">
        <v>0.27872492623272699</v>
      </c>
    </row>
    <row r="36" spans="1:7" x14ac:dyDescent="0.3">
      <c r="A36" s="11">
        <v>2014</v>
      </c>
      <c r="B36" s="18">
        <v>0.53699946643641361</v>
      </c>
      <c r="C36" s="17">
        <v>323280.08343737794</v>
      </c>
      <c r="D36" s="20">
        <v>0.95164520126107555</v>
      </c>
      <c r="E36">
        <v>1637.4026405036245</v>
      </c>
      <c r="F36" s="19">
        <v>10.1</v>
      </c>
      <c r="G36" s="18">
        <v>0.31177097242269725</v>
      </c>
    </row>
    <row r="37" spans="1:7" x14ac:dyDescent="0.3">
      <c r="A37" s="11">
        <v>2015</v>
      </c>
      <c r="B37" s="18">
        <v>0.53637432633187276</v>
      </c>
      <c r="C37" s="17">
        <v>328160.23637447733</v>
      </c>
      <c r="D37" s="20">
        <v>0.95284409329845732</v>
      </c>
      <c r="E37">
        <v>3455.2386041349828</v>
      </c>
      <c r="F37" s="19">
        <v>10.27</v>
      </c>
      <c r="G37" s="18">
        <v>0.34431511241007645</v>
      </c>
    </row>
    <row r="38" spans="1:7" x14ac:dyDescent="0.3">
      <c r="A38" s="11">
        <v>2016</v>
      </c>
      <c r="B38" s="18">
        <v>0.54765708641184008</v>
      </c>
      <c r="C38" s="17">
        <v>323387.16317101556</v>
      </c>
      <c r="D38" s="20">
        <v>0.95404298533583909</v>
      </c>
      <c r="E38">
        <v>3408.8618804776011</v>
      </c>
      <c r="F38" s="19">
        <v>10.3</v>
      </c>
      <c r="G38" s="18">
        <v>0.36447547280185189</v>
      </c>
    </row>
    <row r="39" spans="1:7" x14ac:dyDescent="0.3">
      <c r="A39" s="11">
        <v>2017</v>
      </c>
      <c r="B39" s="18">
        <v>0.54915294594278807</v>
      </c>
      <c r="C39" s="17">
        <v>327566.49521425634</v>
      </c>
      <c r="D39" s="20">
        <v>0.95524187737322086</v>
      </c>
      <c r="E39">
        <v>1996.2</v>
      </c>
      <c r="F39" s="19">
        <v>10.4</v>
      </c>
      <c r="G39" s="18">
        <v>0.38803089251575623</v>
      </c>
    </row>
    <row r="40" spans="1:7" x14ac:dyDescent="0.3">
      <c r="A40" s="11">
        <v>2018</v>
      </c>
      <c r="B40" s="18">
        <v>0.53335814021873407</v>
      </c>
      <c r="C40" s="17">
        <v>337453.12797466008</v>
      </c>
      <c r="D40" s="20">
        <v>0.95644076941060263</v>
      </c>
      <c r="E40">
        <v>3593.4735216196932</v>
      </c>
      <c r="F40" s="19">
        <v>10.5</v>
      </c>
      <c r="G40" s="18">
        <v>0.42789750671201826</v>
      </c>
    </row>
    <row r="41" spans="1:7" x14ac:dyDescent="0.3">
      <c r="A41" s="11">
        <v>2019</v>
      </c>
      <c r="B41" s="18">
        <v>0.53353954623207578</v>
      </c>
      <c r="C41" s="17">
        <v>331265.7976318291</v>
      </c>
      <c r="D41" s="20">
        <v>0.9576396614479844</v>
      </c>
      <c r="E41">
        <v>3149.2897604323948</v>
      </c>
      <c r="F41" s="19">
        <v>10.5</v>
      </c>
      <c r="G41" s="18">
        <v>0.41082863587583712</v>
      </c>
    </row>
    <row r="42" spans="1:7" x14ac:dyDescent="0.3">
      <c r="A42" s="11">
        <v>2020</v>
      </c>
      <c r="B42" s="18">
        <v>0.54721780444381796</v>
      </c>
      <c r="C42" s="17">
        <v>295153.15940427064</v>
      </c>
      <c r="D42" s="20">
        <v>0.9588385534853664</v>
      </c>
      <c r="E42">
        <v>2945.8041128519508</v>
      </c>
      <c r="F42" s="19">
        <v>10.74</v>
      </c>
      <c r="G42" s="18">
        <v>0.40156242653588525</v>
      </c>
    </row>
    <row r="43" spans="1:7" x14ac:dyDescent="0.3">
      <c r="A43" s="11">
        <v>2021</v>
      </c>
      <c r="B43" s="18">
        <v>0.53638169707585714</v>
      </c>
      <c r="C43" s="17">
        <v>311139.61099273525</v>
      </c>
      <c r="D43" s="20">
        <v>0.96003744552274817</v>
      </c>
      <c r="E43">
        <v>3101.0291688599277</v>
      </c>
      <c r="F43" s="19">
        <v>10.7</v>
      </c>
      <c r="G43" s="18">
        <v>0.39019260458655625</v>
      </c>
    </row>
    <row r="44" spans="1:7" x14ac:dyDescent="0.3">
      <c r="A44" s="11">
        <v>2022</v>
      </c>
      <c r="B44" s="18">
        <v>0.53356846942232716</v>
      </c>
      <c r="C44" s="17">
        <v>316406.96133441437</v>
      </c>
      <c r="D44" s="20">
        <v>0.96123633756012994</v>
      </c>
      <c r="E44">
        <v>3741.1352024605371</v>
      </c>
      <c r="F44" s="19">
        <v>10.771666666666667</v>
      </c>
      <c r="G44" s="18">
        <v>0.45578502162822848</v>
      </c>
    </row>
    <row r="45" spans="1:7" x14ac:dyDescent="0.3">
      <c r="A45" s="11">
        <v>2023</v>
      </c>
      <c r="B45" s="18">
        <v>0.53523965944198293</v>
      </c>
      <c r="C45" s="17">
        <v>321101.3981757625</v>
      </c>
      <c r="D45" s="20">
        <v>0.96243522959751171</v>
      </c>
      <c r="E45">
        <v>3162.1047471198626</v>
      </c>
      <c r="F45" s="19">
        <v>10.843333333333334</v>
      </c>
      <c r="G45" s="18">
        <v>0.39667162543666135</v>
      </c>
    </row>
    <row r="46" spans="1:7" x14ac:dyDescent="0.3">
      <c r="A46" s="11">
        <v>2024</v>
      </c>
      <c r="B46" s="18">
        <v>0.53590916784328135</v>
      </c>
      <c r="C46" s="17">
        <v>326558.49950199731</v>
      </c>
      <c r="D46" s="20">
        <v>0.96363412163489348</v>
      </c>
      <c r="E46">
        <v>1830.6917115795516</v>
      </c>
      <c r="F46" s="19">
        <v>10.915000000000001</v>
      </c>
      <c r="G46" s="18">
        <v>0.3975563454310973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35AB-9C93-4D33-8EAE-8A36A0475886}">
  <dimension ref="A1:H136"/>
  <sheetViews>
    <sheetView workbookViewId="0">
      <selection activeCell="G8" sqref="G8"/>
    </sheetView>
  </sheetViews>
  <sheetFormatPr baseColWidth="10" defaultColWidth="11.44140625" defaultRowHeight="14.4" x14ac:dyDescent="0.3"/>
  <cols>
    <col min="1" max="1" width="15.5546875" customWidth="1"/>
    <col min="3" max="3" width="24.5546875" style="18" customWidth="1"/>
    <col min="4" max="4" width="24.88671875" style="18" customWidth="1"/>
    <col min="5" max="5" width="20.5546875" style="18" customWidth="1"/>
  </cols>
  <sheetData>
    <row r="1" spans="1:8" x14ac:dyDescent="0.3">
      <c r="A1" t="s">
        <v>12</v>
      </c>
      <c r="B1" t="s">
        <v>5</v>
      </c>
      <c r="C1" s="18" t="s">
        <v>13</v>
      </c>
      <c r="D1" s="18" t="s">
        <v>14</v>
      </c>
      <c r="E1" s="18" t="s">
        <v>15</v>
      </c>
      <c r="H1" s="18"/>
    </row>
    <row r="2" spans="1:8" x14ac:dyDescent="0.3">
      <c r="A2" s="11" t="s">
        <v>16</v>
      </c>
      <c r="B2">
        <v>1980</v>
      </c>
      <c r="C2" s="18">
        <v>1.090189360014711E-2</v>
      </c>
      <c r="D2" s="18">
        <v>0.46355821834839428</v>
      </c>
      <c r="E2" s="18">
        <v>0.45619856357797267</v>
      </c>
      <c r="H2" s="18"/>
    </row>
    <row r="3" spans="1:8" x14ac:dyDescent="0.3">
      <c r="A3" s="11" t="s">
        <v>16</v>
      </c>
      <c r="B3">
        <v>1981</v>
      </c>
      <c r="C3" s="18">
        <v>1.0538387547961535E-2</v>
      </c>
      <c r="D3" s="18">
        <v>0.46779261903678993</v>
      </c>
      <c r="E3" s="18">
        <v>0.45232767102632504</v>
      </c>
      <c r="H3" s="18"/>
    </row>
    <row r="4" spans="1:8" x14ac:dyDescent="0.3">
      <c r="A4" s="11" t="s">
        <v>16</v>
      </c>
      <c r="B4">
        <v>1982</v>
      </c>
      <c r="C4" s="18">
        <v>1.046213220563047E-2</v>
      </c>
      <c r="D4" s="18">
        <v>0.46368310983847216</v>
      </c>
      <c r="E4" s="18">
        <v>0.45651343377290471</v>
      </c>
      <c r="H4" s="18"/>
    </row>
    <row r="5" spans="1:8" x14ac:dyDescent="0.3">
      <c r="A5" s="11" t="s">
        <v>16</v>
      </c>
      <c r="B5">
        <v>1983</v>
      </c>
      <c r="C5" s="18">
        <v>1.1366298128492568E-2</v>
      </c>
      <c r="D5" s="18">
        <v>0.44188978071384333</v>
      </c>
      <c r="E5" s="18">
        <v>0.47740259869774332</v>
      </c>
      <c r="H5" s="18"/>
    </row>
    <row r="6" spans="1:8" x14ac:dyDescent="0.3">
      <c r="A6" s="11" t="s">
        <v>16</v>
      </c>
      <c r="B6">
        <v>1984</v>
      </c>
      <c r="C6" s="18">
        <v>1.1131107493443187E-2</v>
      </c>
      <c r="D6" s="18">
        <v>0.44508048645384646</v>
      </c>
      <c r="E6" s="18">
        <v>0.47444708550458659</v>
      </c>
      <c r="H6" s="18"/>
    </row>
    <row r="7" spans="1:8" x14ac:dyDescent="0.3">
      <c r="A7" s="11" t="s">
        <v>16</v>
      </c>
      <c r="B7">
        <v>1985</v>
      </c>
      <c r="C7" s="18">
        <v>1.1226695974672322E-2</v>
      </c>
      <c r="D7" s="18">
        <v>0.4520253126516402</v>
      </c>
      <c r="E7" s="18">
        <v>0.46740666905285999</v>
      </c>
      <c r="H7" s="18"/>
    </row>
    <row r="8" spans="1:8" x14ac:dyDescent="0.3">
      <c r="A8" s="11" t="s">
        <v>16</v>
      </c>
      <c r="B8">
        <v>1986</v>
      </c>
      <c r="C8" s="18">
        <v>1.1816685005295098E-2</v>
      </c>
      <c r="D8" s="18">
        <v>0.43940138671742696</v>
      </c>
      <c r="E8" s="18">
        <v>0.47944060830062729</v>
      </c>
      <c r="H8" s="18"/>
    </row>
    <row r="9" spans="1:8" x14ac:dyDescent="0.3">
      <c r="A9" s="11" t="s">
        <v>16</v>
      </c>
      <c r="B9">
        <v>1987</v>
      </c>
      <c r="C9" s="18">
        <v>1.1757472486521404E-2</v>
      </c>
      <c r="D9" s="18">
        <v>0.44312077542265094</v>
      </c>
      <c r="E9" s="18">
        <v>0.4757804327672378</v>
      </c>
      <c r="H9" s="18"/>
    </row>
    <row r="10" spans="1:8" x14ac:dyDescent="0.3">
      <c r="A10" s="11" t="s">
        <v>16</v>
      </c>
      <c r="B10">
        <v>1988</v>
      </c>
      <c r="C10" s="18">
        <v>1.1494987012671204E-2</v>
      </c>
      <c r="D10" s="18">
        <v>0.44204395777830424</v>
      </c>
      <c r="E10" s="18">
        <v>0.47711973562232685</v>
      </c>
      <c r="H10" s="18"/>
    </row>
    <row r="11" spans="1:8" x14ac:dyDescent="0.3">
      <c r="A11" s="11" t="s">
        <v>16</v>
      </c>
      <c r="B11">
        <v>1989</v>
      </c>
      <c r="C11" s="18">
        <v>1.1111899457039909E-2</v>
      </c>
      <c r="D11" s="18">
        <v>0.43883380947148659</v>
      </c>
      <c r="E11" s="18">
        <v>0.48071297157427922</v>
      </c>
      <c r="H11" s="18"/>
    </row>
    <row r="12" spans="1:8" x14ac:dyDescent="0.3">
      <c r="A12" s="11" t="s">
        <v>16</v>
      </c>
      <c r="B12">
        <v>1990</v>
      </c>
      <c r="C12" s="18">
        <v>1.1035525870083435E-2</v>
      </c>
      <c r="D12" s="18">
        <v>0.43947815061646056</v>
      </c>
      <c r="E12" s="18">
        <v>0.48014500371902069</v>
      </c>
      <c r="H12" s="18"/>
    </row>
    <row r="13" spans="1:8" x14ac:dyDescent="0.3">
      <c r="A13" s="11" t="s">
        <v>16</v>
      </c>
      <c r="B13">
        <v>1991</v>
      </c>
      <c r="C13" s="18">
        <v>1.0811054539656311E-2</v>
      </c>
      <c r="D13" s="18">
        <v>0.43031899985757166</v>
      </c>
      <c r="E13" s="18">
        <v>0.4895286274939773</v>
      </c>
      <c r="H13" s="18"/>
    </row>
    <row r="14" spans="1:8" x14ac:dyDescent="0.3">
      <c r="A14" s="11" t="s">
        <v>16</v>
      </c>
      <c r="B14">
        <v>1992</v>
      </c>
      <c r="C14" s="18">
        <v>1.0144121839347668E-2</v>
      </c>
      <c r="D14" s="18">
        <v>0.4272593862430476</v>
      </c>
      <c r="E14" s="18">
        <v>0.49325517395867474</v>
      </c>
      <c r="H14" s="18"/>
    </row>
    <row r="15" spans="1:8" x14ac:dyDescent="0.3">
      <c r="A15" s="11" t="s">
        <v>16</v>
      </c>
      <c r="B15">
        <v>1993</v>
      </c>
      <c r="C15" s="18">
        <v>8.8823359597453855E-3</v>
      </c>
      <c r="D15" s="18">
        <v>0.41710720334516654</v>
      </c>
      <c r="E15" s="18">
        <v>0.50466914238787985</v>
      </c>
      <c r="H15" s="18"/>
    </row>
    <row r="16" spans="1:8" x14ac:dyDescent="0.3">
      <c r="A16" s="11" t="s">
        <v>16</v>
      </c>
      <c r="B16">
        <v>1994</v>
      </c>
      <c r="C16" s="18">
        <v>1.019173886431843E-2</v>
      </c>
      <c r="D16" s="18">
        <v>0.41454772225240205</v>
      </c>
      <c r="E16" s="18">
        <v>0.50416515648330984</v>
      </c>
      <c r="H16" s="18"/>
    </row>
    <row r="17" spans="1:8" x14ac:dyDescent="0.3">
      <c r="A17" s="11" t="s">
        <v>16</v>
      </c>
      <c r="B17">
        <v>1995</v>
      </c>
      <c r="C17" s="18">
        <v>1.2017081249015651E-2</v>
      </c>
      <c r="D17" s="18">
        <v>0.39663264064925713</v>
      </c>
      <c r="E17" s="18">
        <v>0.52141756414198603</v>
      </c>
      <c r="H17" s="18"/>
    </row>
    <row r="18" spans="1:8" x14ac:dyDescent="0.3">
      <c r="A18" s="11" t="s">
        <v>16</v>
      </c>
      <c r="B18">
        <v>1996</v>
      </c>
      <c r="C18" s="18">
        <v>1.1610039032195539E-2</v>
      </c>
      <c r="D18" s="18">
        <v>0.41707419681857211</v>
      </c>
      <c r="E18" s="18">
        <v>0.50248703123537508</v>
      </c>
      <c r="H18" s="18"/>
    </row>
    <row r="19" spans="1:8" x14ac:dyDescent="0.3">
      <c r="A19" s="11" t="s">
        <v>16</v>
      </c>
      <c r="B19">
        <v>1997</v>
      </c>
      <c r="C19" s="18">
        <v>1.0109531846916231E-2</v>
      </c>
      <c r="D19" s="18">
        <v>0.42619068269759641</v>
      </c>
      <c r="E19" s="18">
        <v>0.49456396655109591</v>
      </c>
      <c r="H19" s="18"/>
    </row>
    <row r="20" spans="1:8" x14ac:dyDescent="0.3">
      <c r="A20" s="11" t="s">
        <v>16</v>
      </c>
      <c r="B20">
        <v>1998</v>
      </c>
      <c r="C20" s="18">
        <v>1.0748710675218249E-2</v>
      </c>
      <c r="D20" s="18">
        <v>0.42473766670763585</v>
      </c>
      <c r="E20" s="18">
        <v>0.49492283414168531</v>
      </c>
      <c r="H20" s="18"/>
    </row>
    <row r="21" spans="1:8" x14ac:dyDescent="0.3">
      <c r="A21" s="11" t="s">
        <v>16</v>
      </c>
      <c r="B21">
        <v>1999</v>
      </c>
      <c r="C21" s="18">
        <v>8.6961446488772378E-3</v>
      </c>
      <c r="D21" s="18">
        <v>0.42632791663214975</v>
      </c>
      <c r="E21" s="18">
        <v>0.49522024147624949</v>
      </c>
      <c r="H21" s="18"/>
    </row>
    <row r="22" spans="1:8" x14ac:dyDescent="0.3">
      <c r="A22" s="11" t="s">
        <v>16</v>
      </c>
      <c r="B22">
        <v>2000</v>
      </c>
      <c r="C22" s="18">
        <v>7.6207084180508972E-3</v>
      </c>
      <c r="D22" s="18">
        <v>0.42559720862881484</v>
      </c>
      <c r="E22" s="18">
        <v>0.4981537909993396</v>
      </c>
      <c r="H22" s="18"/>
    </row>
    <row r="23" spans="1:8" x14ac:dyDescent="0.3">
      <c r="A23" s="11" t="s">
        <v>16</v>
      </c>
      <c r="B23">
        <v>2001</v>
      </c>
      <c r="C23" s="18">
        <v>8.7904064865248713E-3</v>
      </c>
      <c r="D23" s="18">
        <v>0.42259672254380382</v>
      </c>
      <c r="E23" s="18">
        <v>0.49580374197496341</v>
      </c>
      <c r="H23" s="18"/>
    </row>
    <row r="24" spans="1:8" x14ac:dyDescent="0.3">
      <c r="A24" s="11" t="s">
        <v>16</v>
      </c>
      <c r="B24">
        <v>2002</v>
      </c>
      <c r="C24" s="18">
        <v>9.0409993529126705E-3</v>
      </c>
      <c r="D24" s="18">
        <v>0.41649533316398885</v>
      </c>
      <c r="E24" s="18">
        <v>0.50046331033756941</v>
      </c>
      <c r="H24" s="18"/>
    </row>
    <row r="25" spans="1:8" x14ac:dyDescent="0.3">
      <c r="A25" s="11" t="s">
        <v>16</v>
      </c>
      <c r="B25">
        <v>2003</v>
      </c>
      <c r="C25" s="18">
        <v>8.7310674694685651E-3</v>
      </c>
      <c r="D25" s="18">
        <v>0.4182467088073476</v>
      </c>
      <c r="E25" s="18">
        <v>0.49775042861962876</v>
      </c>
      <c r="H25" s="18"/>
    </row>
    <row r="26" spans="1:8" x14ac:dyDescent="0.3">
      <c r="A26" s="11" t="s">
        <v>16</v>
      </c>
      <c r="B26">
        <v>2004</v>
      </c>
      <c r="C26" s="18">
        <v>7.7489361707894847E-3</v>
      </c>
      <c r="D26" s="18">
        <v>0.4133399946295635</v>
      </c>
      <c r="E26" s="18">
        <v>0.5042264967192005</v>
      </c>
      <c r="H26" s="18"/>
    </row>
    <row r="27" spans="1:8" x14ac:dyDescent="0.3">
      <c r="A27" s="11" t="s">
        <v>16</v>
      </c>
      <c r="B27">
        <v>2005</v>
      </c>
      <c r="C27" s="18">
        <v>7.0493103493586597E-3</v>
      </c>
      <c r="D27" s="18">
        <v>0.41699637052746541</v>
      </c>
      <c r="E27" s="18">
        <v>0.50345348218526143</v>
      </c>
      <c r="H27" s="18"/>
    </row>
    <row r="28" spans="1:8" x14ac:dyDescent="0.3">
      <c r="A28" s="11" t="s">
        <v>16</v>
      </c>
      <c r="B28">
        <v>2006</v>
      </c>
      <c r="C28" s="18">
        <v>6.4146170986421622E-3</v>
      </c>
      <c r="D28" s="18">
        <v>0.42168767012443137</v>
      </c>
      <c r="E28" s="18">
        <v>0.49992076804858954</v>
      </c>
      <c r="H28" s="18"/>
    </row>
    <row r="29" spans="1:8" x14ac:dyDescent="0.3">
      <c r="A29" s="11" t="s">
        <v>16</v>
      </c>
      <c r="B29">
        <v>2007</v>
      </c>
      <c r="C29" s="18">
        <v>6.7527921868848484E-3</v>
      </c>
      <c r="D29" s="18">
        <v>0.41778405754678444</v>
      </c>
      <c r="E29" s="18">
        <v>0.50568487497286263</v>
      </c>
      <c r="H29" s="18"/>
    </row>
    <row r="30" spans="1:8" x14ac:dyDescent="0.3">
      <c r="A30" s="11" t="s">
        <v>16</v>
      </c>
      <c r="B30">
        <v>2008</v>
      </c>
      <c r="C30" s="18">
        <v>6.3380106789581031E-3</v>
      </c>
      <c r="D30" s="18">
        <v>0.40798386560984384</v>
      </c>
      <c r="E30" s="18">
        <v>0.51437120332264896</v>
      </c>
      <c r="H30" s="18"/>
    </row>
    <row r="31" spans="1:8" x14ac:dyDescent="0.3">
      <c r="A31" s="11" t="s">
        <v>16</v>
      </c>
      <c r="B31">
        <v>2009</v>
      </c>
      <c r="C31" s="18">
        <v>7.1934655975674855E-3</v>
      </c>
      <c r="D31" s="18">
        <v>0.4095525279771004</v>
      </c>
      <c r="E31" s="18">
        <v>0.51532147327740241</v>
      </c>
      <c r="H31" s="18"/>
    </row>
    <row r="32" spans="1:8" x14ac:dyDescent="0.3">
      <c r="A32" s="11" t="s">
        <v>16</v>
      </c>
      <c r="B32">
        <v>2010</v>
      </c>
      <c r="C32" s="18">
        <v>7.0330069437633111E-3</v>
      </c>
      <c r="D32" s="18">
        <v>0.41219982411732636</v>
      </c>
      <c r="E32" s="18">
        <v>0.51646960250558294</v>
      </c>
      <c r="H32" s="18"/>
    </row>
    <row r="33" spans="1:8" x14ac:dyDescent="0.3">
      <c r="A33" s="11" t="s">
        <v>16</v>
      </c>
      <c r="B33">
        <v>2011</v>
      </c>
      <c r="C33" s="18">
        <v>6.0872979054463682E-3</v>
      </c>
      <c r="D33" s="18">
        <v>0.40863076595223596</v>
      </c>
      <c r="E33" s="18">
        <v>0.52384868803897999</v>
      </c>
      <c r="H33" s="18"/>
    </row>
    <row r="34" spans="1:8" x14ac:dyDescent="0.3">
      <c r="A34" s="11" t="s">
        <v>16</v>
      </c>
      <c r="B34">
        <v>2012</v>
      </c>
      <c r="C34" s="18">
        <v>6.0980519180408093E-3</v>
      </c>
      <c r="D34" s="18">
        <v>0.40345208835429647</v>
      </c>
      <c r="E34" s="18">
        <v>0.53169711942567233</v>
      </c>
      <c r="H34" s="18"/>
    </row>
    <row r="35" spans="1:8" x14ac:dyDescent="0.3">
      <c r="A35" s="11" t="s">
        <v>16</v>
      </c>
      <c r="B35">
        <v>2013</v>
      </c>
      <c r="C35" s="18">
        <v>6.0450190352036035E-3</v>
      </c>
      <c r="D35" s="18">
        <v>0.39601478246053001</v>
      </c>
      <c r="E35" s="18">
        <v>0.54038156638709989</v>
      </c>
      <c r="H35" s="18"/>
    </row>
    <row r="36" spans="1:8" x14ac:dyDescent="0.3">
      <c r="A36" s="11" t="s">
        <v>16</v>
      </c>
      <c r="B36">
        <v>2014</v>
      </c>
      <c r="C36" s="18">
        <v>5.9498785398783335E-3</v>
      </c>
      <c r="D36" s="18">
        <v>0.39933383728059352</v>
      </c>
      <c r="E36" s="18">
        <v>0.53699946643641361</v>
      </c>
      <c r="H36" s="18"/>
    </row>
    <row r="37" spans="1:8" x14ac:dyDescent="0.3">
      <c r="A37" s="11" t="s">
        <v>16</v>
      </c>
      <c r="B37">
        <v>2015</v>
      </c>
      <c r="C37" s="18">
        <v>5.3326692620962795E-3</v>
      </c>
      <c r="D37" s="18">
        <v>0.39829174498851611</v>
      </c>
      <c r="E37" s="18">
        <v>0.53637432633187276</v>
      </c>
      <c r="H37" s="18"/>
    </row>
    <row r="38" spans="1:8" x14ac:dyDescent="0.3">
      <c r="A38" s="11" t="s">
        <v>16</v>
      </c>
      <c r="B38">
        <v>2016</v>
      </c>
      <c r="C38" s="18">
        <v>4.8420506917986874E-3</v>
      </c>
      <c r="D38" s="18">
        <v>0.38531867747173548</v>
      </c>
      <c r="E38" s="18">
        <v>0.54765708641184008</v>
      </c>
      <c r="H38" s="18"/>
    </row>
    <row r="39" spans="1:8" x14ac:dyDescent="0.3">
      <c r="A39" s="11" t="s">
        <v>16</v>
      </c>
      <c r="B39">
        <v>2017</v>
      </c>
      <c r="C39" s="18">
        <v>4.6976937971861879E-3</v>
      </c>
      <c r="D39" s="18">
        <v>0.38418597269428689</v>
      </c>
      <c r="E39" s="18">
        <v>0.54915294594278807</v>
      </c>
      <c r="H39" s="18"/>
    </row>
    <row r="40" spans="1:8" x14ac:dyDescent="0.3">
      <c r="A40" s="11" t="s">
        <v>16</v>
      </c>
      <c r="B40">
        <v>2018</v>
      </c>
      <c r="C40" s="18">
        <v>4.47007272583944E-3</v>
      </c>
      <c r="D40" s="18">
        <v>0.39914498879110594</v>
      </c>
      <c r="E40" s="18">
        <v>0.53335814021873407</v>
      </c>
      <c r="H40" s="18"/>
    </row>
    <row r="41" spans="1:8" x14ac:dyDescent="0.3">
      <c r="A41" s="11" t="s">
        <v>16</v>
      </c>
      <c r="B41">
        <v>2019</v>
      </c>
      <c r="C41" s="18">
        <v>4.8903599706371561E-3</v>
      </c>
      <c r="D41" s="18">
        <v>0.39807043144193838</v>
      </c>
      <c r="E41" s="18">
        <v>0.53353954623207578</v>
      </c>
      <c r="H41" s="18"/>
    </row>
    <row r="42" spans="1:8" x14ac:dyDescent="0.3">
      <c r="A42" s="11" t="s">
        <v>16</v>
      </c>
      <c r="B42">
        <v>2020</v>
      </c>
      <c r="C42" s="18">
        <v>5.3474201630696111E-3</v>
      </c>
      <c r="D42" s="18">
        <v>0.38833407914217455</v>
      </c>
      <c r="E42" s="18">
        <v>0.54721780444381796</v>
      </c>
      <c r="H42" s="18"/>
    </row>
    <row r="43" spans="1:8" x14ac:dyDescent="0.3">
      <c r="A43" s="11" t="s">
        <v>16</v>
      </c>
      <c r="B43">
        <v>2021</v>
      </c>
      <c r="C43" s="18">
        <v>4.8609771115922943E-3</v>
      </c>
      <c r="D43" s="18">
        <v>0.39716472549172116</v>
      </c>
      <c r="E43" s="18">
        <v>0.53638169707585714</v>
      </c>
      <c r="H43" s="18"/>
    </row>
    <row r="44" spans="1:8" x14ac:dyDescent="0.3">
      <c r="A44" s="11" t="s">
        <v>16</v>
      </c>
      <c r="B44">
        <v>2022</v>
      </c>
      <c r="C44" s="18">
        <v>4.8291210407999108E-3</v>
      </c>
      <c r="D44" s="18">
        <v>0.39841908470978921</v>
      </c>
      <c r="E44" s="18">
        <v>0.53356846942232716</v>
      </c>
      <c r="H44" s="18"/>
    </row>
    <row r="45" spans="1:8" x14ac:dyDescent="0.3">
      <c r="A45" s="11" t="s">
        <v>16</v>
      </c>
      <c r="B45">
        <v>2023</v>
      </c>
      <c r="C45" s="18">
        <v>4.6760431242533033E-3</v>
      </c>
      <c r="D45" s="18">
        <v>0.39694091853572927</v>
      </c>
      <c r="E45" s="18">
        <v>0.53523965944198293</v>
      </c>
      <c r="H45" s="18"/>
    </row>
    <row r="46" spans="1:8" x14ac:dyDescent="0.3">
      <c r="A46" s="11" t="s">
        <v>16</v>
      </c>
      <c r="B46">
        <v>2024</v>
      </c>
      <c r="C46" s="18">
        <v>4.6195521785018989E-3</v>
      </c>
      <c r="D46" s="18">
        <v>0.39628594006220591</v>
      </c>
      <c r="E46" s="18">
        <v>0.53590916784328135</v>
      </c>
      <c r="H46" s="18"/>
    </row>
    <row r="47" spans="1:8" x14ac:dyDescent="0.3">
      <c r="A47" t="s">
        <v>17</v>
      </c>
      <c r="B47">
        <v>1980</v>
      </c>
      <c r="C47" s="18">
        <v>3.9055902000000003E-2</v>
      </c>
      <c r="D47" s="18">
        <v>0.38746018199999999</v>
      </c>
      <c r="E47" s="18">
        <v>0.51723171599999995</v>
      </c>
    </row>
    <row r="48" spans="1:8" x14ac:dyDescent="0.3">
      <c r="A48" t="s">
        <v>17</v>
      </c>
      <c r="B48">
        <v>1981</v>
      </c>
      <c r="C48" s="18">
        <v>3.8420190999999999E-2</v>
      </c>
      <c r="D48" s="18">
        <v>0.39362824600000001</v>
      </c>
      <c r="E48" s="18">
        <v>0.51164555300000003</v>
      </c>
    </row>
    <row r="49" spans="1:5" x14ac:dyDescent="0.3">
      <c r="A49" t="s">
        <v>17</v>
      </c>
      <c r="B49">
        <v>1982</v>
      </c>
      <c r="C49" s="18">
        <v>3.7579054000000001E-2</v>
      </c>
      <c r="D49" s="18">
        <v>0.38927635300000002</v>
      </c>
      <c r="E49" s="18">
        <v>0.51684666099999999</v>
      </c>
    </row>
    <row r="50" spans="1:5" x14ac:dyDescent="0.3">
      <c r="A50" t="s">
        <v>17</v>
      </c>
      <c r="B50">
        <v>1983</v>
      </c>
      <c r="C50" s="18">
        <v>4.0194168000000002E-2</v>
      </c>
      <c r="D50" s="18">
        <v>0.36709572800000001</v>
      </c>
      <c r="E50" s="18">
        <v>0.53641511799999997</v>
      </c>
    </row>
    <row r="51" spans="1:5" x14ac:dyDescent="0.3">
      <c r="A51" t="s">
        <v>17</v>
      </c>
      <c r="B51">
        <v>1984</v>
      </c>
      <c r="C51" s="18">
        <v>3.9404569E-2</v>
      </c>
      <c r="D51" s="18">
        <v>0.37058214499999997</v>
      </c>
      <c r="E51" s="18">
        <v>0.53373210900000001</v>
      </c>
    </row>
    <row r="52" spans="1:5" x14ac:dyDescent="0.3">
      <c r="A52" t="s">
        <v>17</v>
      </c>
      <c r="B52">
        <v>1985</v>
      </c>
      <c r="C52" s="18">
        <v>3.9840118000000001E-2</v>
      </c>
      <c r="D52" s="18">
        <v>0.37656656700000002</v>
      </c>
      <c r="E52" s="18">
        <v>0.52737488799999999</v>
      </c>
    </row>
    <row r="53" spans="1:5" x14ac:dyDescent="0.3">
      <c r="A53" t="s">
        <v>17</v>
      </c>
      <c r="B53">
        <v>1986</v>
      </c>
      <c r="C53" s="18">
        <v>4.0939836E-2</v>
      </c>
      <c r="D53" s="18">
        <v>0.36444685500000001</v>
      </c>
      <c r="E53" s="18">
        <v>0.53848459599999998</v>
      </c>
    </row>
    <row r="54" spans="1:5" x14ac:dyDescent="0.3">
      <c r="A54" t="s">
        <v>17</v>
      </c>
      <c r="B54">
        <v>1987</v>
      </c>
      <c r="C54" s="18">
        <v>4.0620525999999997E-2</v>
      </c>
      <c r="D54" s="18">
        <v>0.36913253400000001</v>
      </c>
      <c r="E54" s="18">
        <v>0.53418054000000004</v>
      </c>
    </row>
    <row r="55" spans="1:5" x14ac:dyDescent="0.3">
      <c r="A55" t="s">
        <v>17</v>
      </c>
      <c r="B55">
        <v>1988</v>
      </c>
      <c r="C55" s="18">
        <v>3.8778228999999997E-2</v>
      </c>
      <c r="D55" s="18">
        <v>0.37097151</v>
      </c>
      <c r="E55" s="18">
        <v>0.53424772499999995</v>
      </c>
    </row>
    <row r="56" spans="1:5" x14ac:dyDescent="0.3">
      <c r="A56" t="s">
        <v>17</v>
      </c>
      <c r="B56">
        <v>1989</v>
      </c>
      <c r="C56" s="18">
        <v>3.6911978999999998E-2</v>
      </c>
      <c r="D56" s="18">
        <v>0.37209743699999998</v>
      </c>
      <c r="E56" s="18">
        <v>0.53499579200000003</v>
      </c>
    </row>
    <row r="57" spans="1:5" x14ac:dyDescent="0.3">
      <c r="A57" t="s">
        <v>17</v>
      </c>
      <c r="B57">
        <v>1990</v>
      </c>
      <c r="C57" s="18">
        <v>3.7588878999999999E-2</v>
      </c>
      <c r="D57" s="18">
        <v>0.37608519400000001</v>
      </c>
      <c r="E57" s="18">
        <v>0.53032223199999995</v>
      </c>
    </row>
    <row r="58" spans="1:5" x14ac:dyDescent="0.3">
      <c r="A58" t="s">
        <v>17</v>
      </c>
      <c r="B58">
        <v>1991</v>
      </c>
      <c r="C58" s="18">
        <v>3.6972613000000001E-2</v>
      </c>
      <c r="D58" s="18">
        <v>0.37220125199999998</v>
      </c>
      <c r="E58" s="18">
        <v>0.53478876200000003</v>
      </c>
    </row>
    <row r="59" spans="1:5" x14ac:dyDescent="0.3">
      <c r="A59" t="s">
        <v>17</v>
      </c>
      <c r="B59">
        <v>1992</v>
      </c>
      <c r="C59" s="18">
        <v>3.4927033000000003E-2</v>
      </c>
      <c r="D59" s="18">
        <v>0.37366340199999998</v>
      </c>
      <c r="E59" s="18">
        <v>0.53533693199999999</v>
      </c>
    </row>
    <row r="60" spans="1:5" x14ac:dyDescent="0.3">
      <c r="A60" t="s">
        <v>17</v>
      </c>
      <c r="B60">
        <v>1993</v>
      </c>
      <c r="C60" s="18">
        <v>3.5679823999999999E-2</v>
      </c>
      <c r="D60" s="18">
        <v>0.36513923500000001</v>
      </c>
      <c r="E60" s="18">
        <v>0.54298184500000002</v>
      </c>
    </row>
    <row r="61" spans="1:5" x14ac:dyDescent="0.3">
      <c r="A61" t="s">
        <v>17</v>
      </c>
      <c r="B61">
        <v>1994</v>
      </c>
      <c r="C61" s="18">
        <v>3.4118498999999997E-2</v>
      </c>
      <c r="D61" s="18">
        <v>0.36572639800000001</v>
      </c>
      <c r="E61" s="18">
        <v>0.54252284100000003</v>
      </c>
    </row>
    <row r="62" spans="1:5" x14ac:dyDescent="0.3">
      <c r="A62" t="s">
        <v>17</v>
      </c>
      <c r="B62">
        <v>1995</v>
      </c>
      <c r="C62" s="18">
        <v>3.6704132E-2</v>
      </c>
      <c r="D62" s="18">
        <v>0.35073892099999998</v>
      </c>
      <c r="E62" s="18">
        <v>0.55598846099999999</v>
      </c>
    </row>
    <row r="63" spans="1:5" x14ac:dyDescent="0.3">
      <c r="A63" t="s">
        <v>17</v>
      </c>
      <c r="B63">
        <v>1996</v>
      </c>
      <c r="C63" s="18">
        <v>3.5869959E-2</v>
      </c>
      <c r="D63" s="18">
        <v>0.36527593699999999</v>
      </c>
      <c r="E63" s="18">
        <v>0.54317152700000004</v>
      </c>
    </row>
    <row r="64" spans="1:5" x14ac:dyDescent="0.3">
      <c r="A64" t="s">
        <v>17</v>
      </c>
      <c r="B64">
        <v>1997</v>
      </c>
      <c r="C64" s="18">
        <v>3.3443929999999997E-2</v>
      </c>
      <c r="D64" s="18">
        <v>0.37021208700000002</v>
      </c>
      <c r="E64" s="18">
        <v>0.54022845500000005</v>
      </c>
    </row>
    <row r="65" spans="1:5" x14ac:dyDescent="0.3">
      <c r="A65" t="s">
        <v>17</v>
      </c>
      <c r="B65">
        <v>1998</v>
      </c>
      <c r="C65" s="18">
        <v>3.2505796000000003E-2</v>
      </c>
      <c r="D65" s="18">
        <v>0.373129455</v>
      </c>
      <c r="E65" s="18">
        <v>0.537778753</v>
      </c>
    </row>
    <row r="66" spans="1:5" x14ac:dyDescent="0.3">
      <c r="A66" t="s">
        <v>17</v>
      </c>
      <c r="B66">
        <v>1999</v>
      </c>
      <c r="C66" s="18">
        <v>3.2023990000000002E-2</v>
      </c>
      <c r="D66" s="18">
        <v>0.36970573699999998</v>
      </c>
      <c r="E66" s="18">
        <v>0.54124708399999999</v>
      </c>
    </row>
    <row r="67" spans="1:5" x14ac:dyDescent="0.3">
      <c r="A67" t="s">
        <v>17</v>
      </c>
      <c r="B67">
        <v>2000</v>
      </c>
      <c r="C67" s="18">
        <v>3.0835363000000001E-2</v>
      </c>
      <c r="D67" s="18">
        <v>0.369787478</v>
      </c>
      <c r="E67" s="18">
        <v>0.54326368000000003</v>
      </c>
    </row>
    <row r="68" spans="1:5" x14ac:dyDescent="0.3">
      <c r="A68" t="s">
        <v>17</v>
      </c>
      <c r="B68">
        <v>2001</v>
      </c>
      <c r="C68" s="18">
        <v>3.2587409999999997E-2</v>
      </c>
      <c r="D68" s="18">
        <v>0.36279318199999999</v>
      </c>
      <c r="E68" s="18">
        <v>0.54521671000000005</v>
      </c>
    </row>
    <row r="69" spans="1:5" x14ac:dyDescent="0.3">
      <c r="A69" t="s">
        <v>17</v>
      </c>
      <c r="B69">
        <v>2002</v>
      </c>
      <c r="C69" s="18">
        <v>3.2295437000000003E-2</v>
      </c>
      <c r="D69" s="18">
        <v>0.35757224599999998</v>
      </c>
      <c r="E69" s="18">
        <v>0.54979563600000003</v>
      </c>
    </row>
    <row r="70" spans="1:5" x14ac:dyDescent="0.3">
      <c r="A70" t="s">
        <v>17</v>
      </c>
      <c r="B70">
        <v>2003</v>
      </c>
      <c r="C70" s="18">
        <v>3.3100616999999999E-2</v>
      </c>
      <c r="D70" s="18">
        <v>0.35725111700000001</v>
      </c>
      <c r="E70" s="18">
        <v>0.54848807099999997</v>
      </c>
    </row>
    <row r="71" spans="1:5" x14ac:dyDescent="0.3">
      <c r="A71" t="s">
        <v>17</v>
      </c>
      <c r="B71">
        <v>2004</v>
      </c>
      <c r="C71" s="18">
        <v>3.2761499999999999E-2</v>
      </c>
      <c r="D71" s="18">
        <v>0.35812718100000002</v>
      </c>
      <c r="E71" s="18">
        <v>0.54825340899999997</v>
      </c>
    </row>
    <row r="72" spans="1:5" x14ac:dyDescent="0.3">
      <c r="A72" t="s">
        <v>17</v>
      </c>
      <c r="B72">
        <v>2005</v>
      </c>
      <c r="C72" s="18">
        <v>3.1092537999999999E-2</v>
      </c>
      <c r="D72" s="18">
        <v>0.35869190299999998</v>
      </c>
      <c r="E72" s="18">
        <v>0.54855523100000003</v>
      </c>
    </row>
    <row r="73" spans="1:5" x14ac:dyDescent="0.3">
      <c r="A73" t="s">
        <v>17</v>
      </c>
      <c r="B73">
        <v>2006</v>
      </c>
      <c r="C73" s="18">
        <v>3.1448539999999997E-2</v>
      </c>
      <c r="D73" s="18">
        <v>0.35953292399999998</v>
      </c>
      <c r="E73" s="18">
        <v>0.54695238999999995</v>
      </c>
    </row>
    <row r="74" spans="1:5" x14ac:dyDescent="0.3">
      <c r="A74" t="s">
        <v>17</v>
      </c>
      <c r="B74">
        <v>2007</v>
      </c>
      <c r="C74" s="18">
        <v>3.2153381000000002E-2</v>
      </c>
      <c r="D74" s="18">
        <v>0.35624542599999998</v>
      </c>
      <c r="E74" s="18">
        <v>0.55105951200000003</v>
      </c>
    </row>
    <row r="75" spans="1:5" x14ac:dyDescent="0.3">
      <c r="A75" t="s">
        <v>17</v>
      </c>
      <c r="B75">
        <v>2008</v>
      </c>
      <c r="C75" s="18">
        <v>3.2106620000000002E-2</v>
      </c>
      <c r="D75" s="18">
        <v>0.34995226600000001</v>
      </c>
      <c r="E75" s="18">
        <v>0.55541099500000002</v>
      </c>
    </row>
    <row r="76" spans="1:5" x14ac:dyDescent="0.3">
      <c r="A76" t="s">
        <v>17</v>
      </c>
      <c r="B76">
        <v>2009</v>
      </c>
      <c r="C76" s="18">
        <v>3.3310806999999998E-2</v>
      </c>
      <c r="D76" s="18">
        <v>0.343225946</v>
      </c>
      <c r="E76" s="18">
        <v>0.56479441200000002</v>
      </c>
    </row>
    <row r="77" spans="1:5" x14ac:dyDescent="0.3">
      <c r="A77" t="s">
        <v>17</v>
      </c>
      <c r="B77">
        <v>2010</v>
      </c>
      <c r="C77" s="18">
        <v>3.2501308999999999E-2</v>
      </c>
      <c r="D77" s="18">
        <v>0.34234073199999998</v>
      </c>
      <c r="E77" s="18">
        <v>0.56956561900000002</v>
      </c>
    </row>
    <row r="78" spans="1:5" x14ac:dyDescent="0.3">
      <c r="A78" t="s">
        <v>17</v>
      </c>
      <c r="B78">
        <v>2011</v>
      </c>
      <c r="C78" s="18">
        <v>3.0658879999999999E-2</v>
      </c>
      <c r="D78" s="18">
        <v>0.34135389300000002</v>
      </c>
      <c r="E78" s="18">
        <v>0.57388445200000004</v>
      </c>
    </row>
    <row r="79" spans="1:5" x14ac:dyDescent="0.3">
      <c r="A79" t="s">
        <v>17</v>
      </c>
      <c r="B79">
        <v>2012</v>
      </c>
      <c r="C79" s="18">
        <v>3.1399407999999997E-2</v>
      </c>
      <c r="D79" s="18">
        <v>0.34140030199999999</v>
      </c>
      <c r="E79" s="18">
        <v>0.574238158</v>
      </c>
    </row>
    <row r="80" spans="1:5" x14ac:dyDescent="0.3">
      <c r="A80" t="s">
        <v>17</v>
      </c>
      <c r="B80">
        <v>2013</v>
      </c>
      <c r="C80" s="18">
        <v>3.2072855999999997E-2</v>
      </c>
      <c r="D80" s="18">
        <v>0.33673239799999999</v>
      </c>
      <c r="E80" s="18">
        <v>0.57913529200000002</v>
      </c>
    </row>
    <row r="81" spans="1:5" x14ac:dyDescent="0.3">
      <c r="A81" t="s">
        <v>17</v>
      </c>
      <c r="B81">
        <v>2014</v>
      </c>
      <c r="C81" s="18">
        <v>3.2276704000000003E-2</v>
      </c>
      <c r="D81" s="18">
        <v>0.33805553300000002</v>
      </c>
      <c r="E81" s="18">
        <v>0.57763157300000001</v>
      </c>
    </row>
    <row r="82" spans="1:5" x14ac:dyDescent="0.3">
      <c r="A82" t="s">
        <v>17</v>
      </c>
      <c r="B82">
        <v>2015</v>
      </c>
      <c r="C82" s="18">
        <v>3.2009745999999999E-2</v>
      </c>
      <c r="D82" s="18">
        <v>0.335152328</v>
      </c>
      <c r="E82" s="18">
        <v>0.57945537300000005</v>
      </c>
    </row>
    <row r="83" spans="1:5" x14ac:dyDescent="0.3">
      <c r="A83" t="s">
        <v>17</v>
      </c>
      <c r="B83">
        <v>2016</v>
      </c>
      <c r="C83" s="18">
        <v>3.2369215E-2</v>
      </c>
      <c r="D83" s="18">
        <v>0.33025592199999998</v>
      </c>
      <c r="E83" s="18">
        <v>0.58374331000000002</v>
      </c>
    </row>
    <row r="84" spans="1:5" x14ac:dyDescent="0.3">
      <c r="A84" t="s">
        <v>17</v>
      </c>
      <c r="B84">
        <v>2017</v>
      </c>
      <c r="C84" s="18">
        <v>3.2812807999999999E-2</v>
      </c>
      <c r="D84" s="18">
        <v>0.32621781599999999</v>
      </c>
      <c r="E84" s="18">
        <v>0.58729783300000005</v>
      </c>
    </row>
    <row r="85" spans="1:5" x14ac:dyDescent="0.3">
      <c r="A85" t="s">
        <v>17</v>
      </c>
      <c r="B85">
        <v>2018</v>
      </c>
      <c r="C85" s="18">
        <v>3.2969594999999997E-2</v>
      </c>
      <c r="D85" s="18">
        <v>0.32043865500000002</v>
      </c>
      <c r="E85" s="18">
        <v>0.592695792</v>
      </c>
    </row>
    <row r="86" spans="1:5" x14ac:dyDescent="0.3">
      <c r="A86" t="s">
        <v>17</v>
      </c>
      <c r="B86">
        <v>2019</v>
      </c>
      <c r="C86" s="18">
        <v>3.3198481000000002E-2</v>
      </c>
      <c r="D86" s="18">
        <v>0.31610100499999999</v>
      </c>
      <c r="E86" s="18">
        <v>0.59637310899999996</v>
      </c>
    </row>
    <row r="87" spans="1:5" x14ac:dyDescent="0.3">
      <c r="A87" t="s">
        <v>17</v>
      </c>
      <c r="B87">
        <v>2020</v>
      </c>
      <c r="C87" s="18">
        <v>3.6630370000000002E-2</v>
      </c>
      <c r="D87" s="18">
        <v>0.31443159999999998</v>
      </c>
      <c r="E87" s="18">
        <v>0.59786968600000001</v>
      </c>
    </row>
    <row r="88" spans="1:5" x14ac:dyDescent="0.3">
      <c r="A88" t="s">
        <v>17</v>
      </c>
      <c r="B88">
        <v>2021</v>
      </c>
      <c r="C88" s="18">
        <v>3.5343505999999997E-2</v>
      </c>
      <c r="D88" s="18">
        <v>0.31541471799999998</v>
      </c>
      <c r="E88" s="18">
        <v>0.595610313</v>
      </c>
    </row>
    <row r="89" spans="1:5" x14ac:dyDescent="0.3">
      <c r="A89" t="s">
        <v>17</v>
      </c>
      <c r="B89">
        <v>2022</v>
      </c>
      <c r="C89" s="18">
        <v>3.4612860000000002E-2</v>
      </c>
      <c r="D89" s="18">
        <v>0.31859165499999997</v>
      </c>
      <c r="E89" s="18">
        <v>0.59186023399999999</v>
      </c>
    </row>
    <row r="90" spans="1:5" x14ac:dyDescent="0.3">
      <c r="A90" t="s">
        <v>17</v>
      </c>
      <c r="B90">
        <v>2023</v>
      </c>
      <c r="C90" s="18">
        <v>3.3191946E-2</v>
      </c>
      <c r="D90" s="18">
        <v>0.31816474700000003</v>
      </c>
      <c r="E90" s="18">
        <v>0.59314507500000002</v>
      </c>
    </row>
    <row r="91" spans="1:5" x14ac:dyDescent="0.3">
      <c r="A91" t="s">
        <v>17</v>
      </c>
      <c r="B91">
        <v>2024</v>
      </c>
      <c r="C91" s="18">
        <v>3.2876245999999998E-2</v>
      </c>
      <c r="D91" s="18">
        <v>0.31257375599999998</v>
      </c>
      <c r="E91" s="18">
        <v>0.598969478</v>
      </c>
    </row>
    <row r="92" spans="1:5" x14ac:dyDescent="0.3">
      <c r="A92" t="s">
        <v>18</v>
      </c>
      <c r="B92">
        <v>1980</v>
      </c>
      <c r="C92" s="18">
        <v>6.4389899999999997E-4</v>
      </c>
      <c r="D92" s="18">
        <v>0.193833485</v>
      </c>
      <c r="E92" s="18">
        <v>0.74476278900000004</v>
      </c>
    </row>
    <row r="93" spans="1:5" x14ac:dyDescent="0.3">
      <c r="A93" t="s">
        <v>18</v>
      </c>
      <c r="B93">
        <v>1981</v>
      </c>
      <c r="C93" s="18">
        <v>6.27561E-4</v>
      </c>
      <c r="D93" s="18">
        <v>0.18682270100000001</v>
      </c>
      <c r="E93" s="18">
        <v>0.751789912</v>
      </c>
    </row>
    <row r="94" spans="1:5" x14ac:dyDescent="0.3">
      <c r="A94" t="s">
        <v>18</v>
      </c>
      <c r="B94">
        <v>1982</v>
      </c>
      <c r="C94" s="18">
        <v>6.0623399999999998E-4</v>
      </c>
      <c r="D94" s="18">
        <v>0.18344655900000001</v>
      </c>
      <c r="E94" s="18">
        <v>0.75518737999999996</v>
      </c>
    </row>
    <row r="95" spans="1:5" x14ac:dyDescent="0.3">
      <c r="A95" t="s">
        <v>18</v>
      </c>
      <c r="B95">
        <v>1983</v>
      </c>
      <c r="C95" s="18">
        <v>6.4473099999999995E-4</v>
      </c>
      <c r="D95" s="18">
        <v>0.17472006700000001</v>
      </c>
      <c r="E95" s="18">
        <v>0.76387537599999999</v>
      </c>
    </row>
    <row r="96" spans="1:5" x14ac:dyDescent="0.3">
      <c r="A96" t="s">
        <v>18</v>
      </c>
      <c r="B96">
        <v>1984</v>
      </c>
      <c r="C96" s="18">
        <v>6.3309399999999995E-4</v>
      </c>
      <c r="D96" s="18">
        <v>0.17295407099999999</v>
      </c>
      <c r="E96" s="18">
        <v>0.765653009</v>
      </c>
    </row>
    <row r="97" spans="1:5" x14ac:dyDescent="0.3">
      <c r="A97" t="s">
        <v>18</v>
      </c>
      <c r="B97">
        <v>1985</v>
      </c>
      <c r="C97" s="18">
        <v>6.5351600000000004E-4</v>
      </c>
      <c r="D97" s="18">
        <v>0.175501138</v>
      </c>
      <c r="E97" s="18">
        <v>0.76308551899999999</v>
      </c>
    </row>
    <row r="98" spans="1:5" x14ac:dyDescent="0.3">
      <c r="A98" t="s">
        <v>18</v>
      </c>
      <c r="B98">
        <v>1986</v>
      </c>
      <c r="C98" s="18">
        <v>6.7473900000000005E-4</v>
      </c>
      <c r="D98" s="18">
        <v>0.173330395</v>
      </c>
      <c r="E98" s="18">
        <v>0.76523503999999998</v>
      </c>
    </row>
    <row r="99" spans="1:5" x14ac:dyDescent="0.3">
      <c r="A99" t="s">
        <v>18</v>
      </c>
      <c r="B99">
        <v>1987</v>
      </c>
      <c r="C99" s="18">
        <v>6.8309899999999995E-4</v>
      </c>
      <c r="D99" s="18">
        <v>0.17492365100000001</v>
      </c>
      <c r="E99" s="18">
        <v>0.76363342300000003</v>
      </c>
    </row>
    <row r="100" spans="1:5" x14ac:dyDescent="0.3">
      <c r="A100" t="s">
        <v>18</v>
      </c>
      <c r="B100">
        <v>1988</v>
      </c>
      <c r="C100" s="18">
        <v>6.6013400000000005E-4</v>
      </c>
      <c r="D100" s="18">
        <v>0.175507407</v>
      </c>
      <c r="E100" s="18">
        <v>0.76307263199999997</v>
      </c>
    </row>
    <row r="101" spans="1:5" x14ac:dyDescent="0.3">
      <c r="A101" t="s">
        <v>18</v>
      </c>
      <c r="B101">
        <v>1989</v>
      </c>
      <c r="C101" s="18">
        <v>6.3415900000000002E-4</v>
      </c>
      <c r="D101" s="18">
        <v>0.17271099100000001</v>
      </c>
      <c r="E101" s="18">
        <v>0.76589502399999998</v>
      </c>
    </row>
    <row r="102" spans="1:5" x14ac:dyDescent="0.3">
      <c r="A102" t="s">
        <v>18</v>
      </c>
      <c r="B102">
        <v>1990</v>
      </c>
      <c r="C102" s="18">
        <v>6.6460800000000002E-4</v>
      </c>
      <c r="D102" s="18">
        <v>0.171061674</v>
      </c>
      <c r="E102" s="18">
        <v>0.767513891</v>
      </c>
    </row>
    <row r="103" spans="1:5" x14ac:dyDescent="0.3">
      <c r="A103" t="s">
        <v>18</v>
      </c>
      <c r="B103">
        <v>1991</v>
      </c>
      <c r="C103" s="18">
        <v>6.6629500000000002E-4</v>
      </c>
      <c r="D103" s="18">
        <v>0.16525029499999999</v>
      </c>
      <c r="E103" s="18">
        <v>0.77332358400000001</v>
      </c>
    </row>
    <row r="104" spans="1:5" x14ac:dyDescent="0.3">
      <c r="A104" t="s">
        <v>18</v>
      </c>
      <c r="B104">
        <v>1992</v>
      </c>
      <c r="C104" s="18">
        <v>6.6567700000000004E-4</v>
      </c>
      <c r="D104" s="18">
        <v>0.16289761999999999</v>
      </c>
      <c r="E104" s="18">
        <v>0.77567687600000002</v>
      </c>
    </row>
    <row r="105" spans="1:5" x14ac:dyDescent="0.3">
      <c r="A105" t="s">
        <v>18</v>
      </c>
      <c r="B105">
        <v>1993</v>
      </c>
      <c r="C105" s="18">
        <v>6.9631999999999995E-4</v>
      </c>
      <c r="D105" s="18">
        <v>0.15432003799999999</v>
      </c>
      <c r="E105" s="18">
        <v>0.78422381600000002</v>
      </c>
    </row>
    <row r="106" spans="1:5" x14ac:dyDescent="0.3">
      <c r="A106" t="s">
        <v>18</v>
      </c>
      <c r="B106">
        <v>1994</v>
      </c>
      <c r="C106" s="18">
        <v>6.4117199999999997E-4</v>
      </c>
      <c r="D106" s="18">
        <v>0.15010573899999999</v>
      </c>
      <c r="E106" s="18">
        <v>0.78694174299999997</v>
      </c>
    </row>
    <row r="107" spans="1:5" x14ac:dyDescent="0.3">
      <c r="A107" t="s">
        <v>18</v>
      </c>
      <c r="B107">
        <v>1995</v>
      </c>
      <c r="C107" s="18">
        <v>7.58035E-4</v>
      </c>
      <c r="D107" s="18">
        <v>0.137753871</v>
      </c>
      <c r="E107" s="18">
        <v>0.80020524199999998</v>
      </c>
    </row>
    <row r="108" spans="1:5" x14ac:dyDescent="0.3">
      <c r="A108" t="s">
        <v>18</v>
      </c>
      <c r="B108">
        <v>1996</v>
      </c>
      <c r="C108" s="18">
        <v>6.6193999999999997E-4</v>
      </c>
      <c r="D108" s="18">
        <v>0.13754013900000001</v>
      </c>
      <c r="E108" s="18">
        <v>0.80149135599999999</v>
      </c>
    </row>
    <row r="109" spans="1:5" x14ac:dyDescent="0.3">
      <c r="A109" t="s">
        <v>18</v>
      </c>
      <c r="B109">
        <v>1997</v>
      </c>
      <c r="C109" s="18">
        <v>6.7426300000000003E-4</v>
      </c>
      <c r="D109" s="18">
        <v>0.142495543</v>
      </c>
      <c r="E109" s="18">
        <v>0.79625209200000002</v>
      </c>
    </row>
    <row r="110" spans="1:5" x14ac:dyDescent="0.3">
      <c r="A110" t="s">
        <v>18</v>
      </c>
      <c r="B110">
        <v>1998</v>
      </c>
      <c r="C110" s="18">
        <v>5.98936E-4</v>
      </c>
      <c r="D110" s="18">
        <v>0.140335247</v>
      </c>
      <c r="E110" s="18">
        <v>0.79808537300000004</v>
      </c>
    </row>
    <row r="111" spans="1:5" x14ac:dyDescent="0.3">
      <c r="A111" t="s">
        <v>18</v>
      </c>
      <c r="B111">
        <v>1999</v>
      </c>
      <c r="C111" s="18">
        <v>5.6890499999999997E-4</v>
      </c>
      <c r="D111" s="18">
        <v>0.137431938</v>
      </c>
      <c r="E111" s="18">
        <v>0.80087286800000002</v>
      </c>
    </row>
    <row r="112" spans="1:5" x14ac:dyDescent="0.3">
      <c r="A112" t="s">
        <v>18</v>
      </c>
      <c r="B112">
        <v>2000</v>
      </c>
      <c r="C112" s="18">
        <v>5.4715299999999998E-4</v>
      </c>
      <c r="D112" s="18">
        <v>0.14184849999999999</v>
      </c>
      <c r="E112" s="18">
        <v>0.79747500699999996</v>
      </c>
    </row>
    <row r="113" spans="1:5" x14ac:dyDescent="0.3">
      <c r="A113" t="s">
        <v>18</v>
      </c>
      <c r="B113">
        <v>2001</v>
      </c>
      <c r="C113" s="18">
        <v>5.9485600000000005E-4</v>
      </c>
      <c r="D113" s="18">
        <v>0.14391968999999999</v>
      </c>
      <c r="E113" s="18">
        <v>0.79165755199999999</v>
      </c>
    </row>
    <row r="114" spans="1:5" x14ac:dyDescent="0.3">
      <c r="A114" t="s">
        <v>18</v>
      </c>
      <c r="B114">
        <v>2002</v>
      </c>
      <c r="C114" s="18">
        <v>5.5166000000000004E-4</v>
      </c>
      <c r="D114" s="18">
        <v>0.146246662</v>
      </c>
      <c r="E114" s="18">
        <v>0.78831920700000002</v>
      </c>
    </row>
    <row r="115" spans="1:5" x14ac:dyDescent="0.3">
      <c r="A115" t="s">
        <v>18</v>
      </c>
      <c r="B115">
        <v>2003</v>
      </c>
      <c r="C115" s="18">
        <v>5.9415200000000003E-4</v>
      </c>
      <c r="D115" s="18">
        <v>0.14302830899999999</v>
      </c>
      <c r="E115" s="18">
        <v>0.79036912100000001</v>
      </c>
    </row>
    <row r="116" spans="1:5" x14ac:dyDescent="0.3">
      <c r="A116" t="s">
        <v>18</v>
      </c>
      <c r="B116">
        <v>2004</v>
      </c>
      <c r="C116" s="18">
        <v>5.5581999999999995E-4</v>
      </c>
      <c r="D116" s="18">
        <v>0.14485055599999999</v>
      </c>
      <c r="E116" s="18">
        <v>0.78844257699999998</v>
      </c>
    </row>
    <row r="117" spans="1:5" x14ac:dyDescent="0.3">
      <c r="A117" t="s">
        <v>18</v>
      </c>
      <c r="B117">
        <v>2005</v>
      </c>
      <c r="C117" s="18">
        <v>5.8709799999999998E-4</v>
      </c>
      <c r="D117" s="18">
        <v>0.148397117</v>
      </c>
      <c r="E117" s="18">
        <v>0.78350116700000005</v>
      </c>
    </row>
    <row r="118" spans="1:5" x14ac:dyDescent="0.3">
      <c r="A118" t="s">
        <v>18</v>
      </c>
      <c r="B118">
        <v>2006</v>
      </c>
      <c r="C118" s="18">
        <v>5.1049899999999998E-4</v>
      </c>
      <c r="D118" s="18">
        <v>0.154668795</v>
      </c>
      <c r="E118" s="18">
        <v>0.77778824000000002</v>
      </c>
    </row>
    <row r="119" spans="1:5" x14ac:dyDescent="0.3">
      <c r="A119" t="s">
        <v>18</v>
      </c>
      <c r="B119">
        <v>2007</v>
      </c>
      <c r="C119" s="18">
        <v>4.8414399999999999E-4</v>
      </c>
      <c r="D119" s="18">
        <v>0.14314064400000001</v>
      </c>
      <c r="E119" s="18">
        <v>0.79101141699999999</v>
      </c>
    </row>
    <row r="120" spans="1:5" x14ac:dyDescent="0.3">
      <c r="A120" t="s">
        <v>18</v>
      </c>
      <c r="B120">
        <v>2008</v>
      </c>
      <c r="C120" s="18">
        <v>4.5408500000000001E-4</v>
      </c>
      <c r="D120" s="18">
        <v>0.13560557300000001</v>
      </c>
      <c r="E120" s="18">
        <v>0.79700221299999996</v>
      </c>
    </row>
    <row r="121" spans="1:5" x14ac:dyDescent="0.3">
      <c r="A121" t="s">
        <v>18</v>
      </c>
      <c r="B121">
        <v>2009</v>
      </c>
      <c r="C121" s="18">
        <v>5.0885500000000001E-4</v>
      </c>
      <c r="D121" s="18">
        <v>0.132472337</v>
      </c>
      <c r="E121" s="18">
        <v>0.80202227299999995</v>
      </c>
    </row>
    <row r="122" spans="1:5" x14ac:dyDescent="0.3">
      <c r="A122" t="s">
        <v>18</v>
      </c>
      <c r="B122">
        <v>2010</v>
      </c>
      <c r="C122" s="18">
        <v>4.8780999999999998E-4</v>
      </c>
      <c r="D122" s="18">
        <v>0.11844866499999999</v>
      </c>
      <c r="E122" s="18">
        <v>0.82064296800000003</v>
      </c>
    </row>
    <row r="123" spans="1:5" x14ac:dyDescent="0.3">
      <c r="A123" t="s">
        <v>18</v>
      </c>
      <c r="B123">
        <v>2011</v>
      </c>
      <c r="C123" s="18">
        <v>4.83745E-4</v>
      </c>
      <c r="D123" s="18">
        <v>0.117484528</v>
      </c>
      <c r="E123" s="18">
        <v>0.82327524600000002</v>
      </c>
    </row>
    <row r="124" spans="1:5" x14ac:dyDescent="0.3">
      <c r="A124" t="s">
        <v>18</v>
      </c>
      <c r="B124">
        <v>2012</v>
      </c>
      <c r="C124" s="18">
        <v>4.7172099999999998E-4</v>
      </c>
      <c r="D124" s="18">
        <v>0.119212712</v>
      </c>
      <c r="E124" s="18">
        <v>0.82335691499999997</v>
      </c>
    </row>
    <row r="125" spans="1:5" x14ac:dyDescent="0.3">
      <c r="A125" t="s">
        <v>18</v>
      </c>
      <c r="B125">
        <v>2013</v>
      </c>
      <c r="C125" s="18">
        <v>4.16842E-4</v>
      </c>
      <c r="D125" s="18">
        <v>0.110227319</v>
      </c>
      <c r="E125" s="18">
        <v>0.83291495800000004</v>
      </c>
    </row>
    <row r="126" spans="1:5" x14ac:dyDescent="0.3">
      <c r="A126" t="s">
        <v>18</v>
      </c>
      <c r="B126">
        <v>2014</v>
      </c>
      <c r="C126" s="18">
        <v>4.08775E-4</v>
      </c>
      <c r="D126" s="18">
        <v>0.106384979</v>
      </c>
      <c r="E126" s="18">
        <v>0.83762842800000004</v>
      </c>
    </row>
    <row r="127" spans="1:5" x14ac:dyDescent="0.3">
      <c r="A127" t="s">
        <v>18</v>
      </c>
      <c r="B127">
        <v>2015</v>
      </c>
      <c r="C127" s="18">
        <v>4.0310999999999998E-4</v>
      </c>
      <c r="D127" s="18">
        <v>9.6696957E-2</v>
      </c>
      <c r="E127" s="18">
        <v>0.84638287099999998</v>
      </c>
    </row>
    <row r="128" spans="1:5" x14ac:dyDescent="0.3">
      <c r="A128" t="s">
        <v>18</v>
      </c>
      <c r="B128">
        <v>2016</v>
      </c>
      <c r="C128" s="18">
        <v>3.9336500000000001E-4</v>
      </c>
      <c r="D128" s="18">
        <v>9.7273762E-2</v>
      </c>
      <c r="E128" s="18">
        <v>0.84585781800000004</v>
      </c>
    </row>
    <row r="129" spans="1:5" x14ac:dyDescent="0.3">
      <c r="A129" t="s">
        <v>18</v>
      </c>
      <c r="B129">
        <v>2017</v>
      </c>
      <c r="C129" s="18">
        <v>3.56955E-4</v>
      </c>
      <c r="D129" s="18">
        <v>9.2530209000000002E-2</v>
      </c>
      <c r="E129" s="18">
        <v>0.85021680499999996</v>
      </c>
    </row>
    <row r="130" spans="1:5" x14ac:dyDescent="0.3">
      <c r="A130" t="s">
        <v>18</v>
      </c>
      <c r="B130">
        <v>2018</v>
      </c>
      <c r="C130" s="18">
        <v>3.7025200000000001E-4</v>
      </c>
      <c r="D130" s="18">
        <v>8.9223671000000004E-2</v>
      </c>
      <c r="E130" s="18">
        <v>0.85305315800000003</v>
      </c>
    </row>
    <row r="131" spans="1:5" x14ac:dyDescent="0.3">
      <c r="A131" t="s">
        <v>18</v>
      </c>
      <c r="B131">
        <v>2019</v>
      </c>
      <c r="C131" s="18">
        <v>3.8176200000000001E-4</v>
      </c>
      <c r="D131" s="18">
        <v>8.7703168999999997E-2</v>
      </c>
      <c r="E131" s="18">
        <v>0.85453845500000003</v>
      </c>
    </row>
    <row r="132" spans="1:5" x14ac:dyDescent="0.3">
      <c r="A132" t="s">
        <v>18</v>
      </c>
      <c r="B132">
        <v>2020</v>
      </c>
      <c r="C132" s="18">
        <v>4.1973999999999999E-4</v>
      </c>
      <c r="D132" s="18">
        <v>8.5941823000000001E-2</v>
      </c>
      <c r="E132" s="18">
        <v>0.85850483099999997</v>
      </c>
    </row>
    <row r="133" spans="1:5" x14ac:dyDescent="0.3">
      <c r="A133" t="s">
        <v>18</v>
      </c>
      <c r="B133">
        <v>2021</v>
      </c>
      <c r="C133" s="18">
        <v>3.9456700000000002E-4</v>
      </c>
      <c r="D133" s="18">
        <v>8.9541488000000002E-2</v>
      </c>
      <c r="E133" s="18">
        <v>0.85336656</v>
      </c>
    </row>
    <row r="134" spans="1:5" x14ac:dyDescent="0.3">
      <c r="A134" t="s">
        <v>18</v>
      </c>
      <c r="B134">
        <v>2022</v>
      </c>
      <c r="C134" s="18">
        <v>3.68069E-4</v>
      </c>
      <c r="D134" s="18">
        <v>9.6699080000000007E-2</v>
      </c>
      <c r="E134" s="18">
        <v>0.84365606299999996</v>
      </c>
    </row>
    <row r="135" spans="1:5" x14ac:dyDescent="0.3">
      <c r="A135" t="s">
        <v>18</v>
      </c>
      <c r="B135">
        <v>2023</v>
      </c>
      <c r="C135" s="18">
        <v>3.3491400000000001E-4</v>
      </c>
      <c r="D135" s="18">
        <v>9.1850347999999998E-2</v>
      </c>
      <c r="E135" s="18">
        <v>0.84867960399999998</v>
      </c>
    </row>
    <row r="136" spans="1:5" x14ac:dyDescent="0.3">
      <c r="A136" t="s">
        <v>18</v>
      </c>
      <c r="B136">
        <v>2024</v>
      </c>
      <c r="C136" s="18">
        <v>3.5327999999999998E-4</v>
      </c>
      <c r="D136" s="18">
        <v>8.9091161000000002E-2</v>
      </c>
      <c r="E136" s="18">
        <v>0.85193170299999998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AT5"/>
  <sheetViews>
    <sheetView workbookViewId="0">
      <selection activeCell="E36" sqref="E36"/>
    </sheetView>
  </sheetViews>
  <sheetFormatPr baseColWidth="10" defaultColWidth="11.44140625" defaultRowHeight="14.4" x14ac:dyDescent="0.3"/>
  <cols>
    <col min="1" max="1" width="22.44140625" bestFit="1" customWidth="1"/>
    <col min="33" max="33" width="12.5546875" bestFit="1" customWidth="1"/>
  </cols>
  <sheetData>
    <row r="1" spans="1:46" x14ac:dyDescent="0.3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6" t="s">
        <v>64</v>
      </c>
    </row>
    <row r="2" spans="1:46" x14ac:dyDescent="0.3">
      <c r="A2" s="2" t="s">
        <v>65</v>
      </c>
      <c r="B2" s="1">
        <v>617991.07999999996</v>
      </c>
      <c r="C2" s="1">
        <v>688550.973</v>
      </c>
      <c r="D2" s="1">
        <v>689748.59600000002</v>
      </c>
      <c r="E2" s="1">
        <v>650982.13300000003</v>
      </c>
      <c r="F2" s="1">
        <v>680103.57499999995</v>
      </c>
      <c r="G2" s="1">
        <v>697456.76</v>
      </c>
      <c r="H2" s="1">
        <v>665305.11699999997</v>
      </c>
      <c r="I2" s="1">
        <v>683097.92</v>
      </c>
      <c r="J2" s="1">
        <v>694487.69200000004</v>
      </c>
      <c r="K2" s="1">
        <v>725048.31700000004</v>
      </c>
      <c r="L2" s="1">
        <v>769293.924</v>
      </c>
      <c r="M2" s="1">
        <v>803906.22100000002</v>
      </c>
      <c r="N2" s="1">
        <v>838399.23600000003</v>
      </c>
      <c r="O2" s="1">
        <v>870417.87600000005</v>
      </c>
      <c r="P2" s="1">
        <v>916740.22699999996</v>
      </c>
      <c r="Q2" s="1">
        <v>853356.8</v>
      </c>
      <c r="R2" s="1">
        <v>906779.12199999997</v>
      </c>
      <c r="S2" s="1">
        <v>993197.62300000002</v>
      </c>
      <c r="T2" s="1">
        <v>1077062.017</v>
      </c>
      <c r="U2" s="1">
        <v>1137219.584</v>
      </c>
      <c r="V2" s="1">
        <v>1212180.7439999999</v>
      </c>
      <c r="W2" s="1">
        <v>1213057.5549999999</v>
      </c>
      <c r="X2" s="1">
        <v>1238800.3319999999</v>
      </c>
      <c r="Y2" s="1">
        <v>1289662.122</v>
      </c>
      <c r="Z2" s="1">
        <v>1335507.8389999999</v>
      </c>
      <c r="AA2" s="1">
        <v>1368861.9909999999</v>
      </c>
      <c r="AB2" s="1">
        <v>1469583.898</v>
      </c>
      <c r="AC2" s="1">
        <v>1532409.5149999999</v>
      </c>
      <c r="AD2" s="1">
        <v>1531655.04</v>
      </c>
      <c r="AE2" s="1">
        <v>1411038.652</v>
      </c>
      <c r="AF2" s="1">
        <v>1509564.2709999999</v>
      </c>
      <c r="AG2" s="1">
        <v>1558834.9950000001</v>
      </c>
      <c r="AH2" s="1">
        <v>1621930.2709999999</v>
      </c>
      <c r="AI2" s="1">
        <v>1611568.7879999999</v>
      </c>
      <c r="AJ2" s="1">
        <v>1666974.7009999999</v>
      </c>
      <c r="AK2" s="1">
        <v>1728163.9920000001</v>
      </c>
      <c r="AL2" s="1">
        <v>1743960.8829999999</v>
      </c>
      <c r="AM2" s="1">
        <v>1809343.5560000001</v>
      </c>
      <c r="AN2" s="1">
        <v>1909026.4350000001</v>
      </c>
      <c r="AO2" s="1">
        <v>1918825.0060000001</v>
      </c>
      <c r="AP2" s="1">
        <v>1743165.6229999999</v>
      </c>
      <c r="AQ2" s="1">
        <v>1865875.274</v>
      </c>
      <c r="AR2" s="1">
        <v>1928658.429</v>
      </c>
      <c r="AS2" s="1">
        <v>1991519.7</v>
      </c>
      <c r="AT2" s="3">
        <v>2059995.5649999999</v>
      </c>
    </row>
    <row r="3" spans="1:46" x14ac:dyDescent="0.3">
      <c r="A3" s="2" t="s">
        <v>66</v>
      </c>
      <c r="B3" s="1">
        <v>6737.2730000000001</v>
      </c>
      <c r="C3" s="1">
        <v>7256.2169999999996</v>
      </c>
      <c r="D3" s="1">
        <v>7216.241</v>
      </c>
      <c r="E3" s="1">
        <v>7399.2569999999996</v>
      </c>
      <c r="F3" s="1">
        <v>7570.3059999999996</v>
      </c>
      <c r="G3" s="1">
        <v>7830.1350000000002</v>
      </c>
      <c r="H3" s="1">
        <v>7861.701</v>
      </c>
      <c r="I3" s="1">
        <v>8031.5050000000001</v>
      </c>
      <c r="J3" s="1">
        <v>7983.1270000000004</v>
      </c>
      <c r="K3" s="1">
        <v>8056.6639999999998</v>
      </c>
      <c r="L3" s="1">
        <v>8489.5630000000001</v>
      </c>
      <c r="M3" s="1">
        <v>8691.0740000000005</v>
      </c>
      <c r="N3" s="1">
        <v>8504.8240000000005</v>
      </c>
      <c r="O3" s="1">
        <v>7731.3440000000001</v>
      </c>
      <c r="P3" s="1">
        <v>9343.1769999999997</v>
      </c>
      <c r="Q3" s="1">
        <v>10254.858</v>
      </c>
      <c r="R3" s="1">
        <v>10527.741</v>
      </c>
      <c r="S3" s="1">
        <v>10040.763000000001</v>
      </c>
      <c r="T3" s="1">
        <v>11577.028</v>
      </c>
      <c r="U3" s="1">
        <v>9889.4259999999995</v>
      </c>
      <c r="V3" s="1">
        <v>9237.6759999999995</v>
      </c>
      <c r="W3" s="1">
        <v>10663.269</v>
      </c>
      <c r="X3" s="1">
        <v>11199.993</v>
      </c>
      <c r="Y3" s="1">
        <v>11260.127</v>
      </c>
      <c r="Z3" s="1">
        <v>10348.764999999999</v>
      </c>
      <c r="AA3" s="1">
        <v>9649.5329999999994</v>
      </c>
      <c r="AB3" s="1">
        <v>9426.8179999999993</v>
      </c>
      <c r="AC3" s="1">
        <v>10348.043</v>
      </c>
      <c r="AD3" s="1">
        <v>9707.6460000000006</v>
      </c>
      <c r="AE3" s="1">
        <v>10150.258</v>
      </c>
      <c r="AF3" s="1">
        <v>10616.776</v>
      </c>
      <c r="AG3" s="1">
        <v>9489.0930000000008</v>
      </c>
      <c r="AH3" s="1">
        <v>9890.6149999999998</v>
      </c>
      <c r="AI3" s="1">
        <v>9741.9639999999999</v>
      </c>
      <c r="AJ3" s="1">
        <v>9918.2970000000005</v>
      </c>
      <c r="AK3" s="1">
        <v>9215.7270000000008</v>
      </c>
      <c r="AL3" s="1">
        <v>8444.3469999999998</v>
      </c>
      <c r="AM3" s="1">
        <v>8499.7420000000002</v>
      </c>
      <c r="AN3" s="1">
        <v>8533.4869999999992</v>
      </c>
      <c r="AO3" s="1">
        <v>9383.7450000000008</v>
      </c>
      <c r="AP3" s="1">
        <v>9321.4390000000003</v>
      </c>
      <c r="AQ3" s="1">
        <v>9069.9770000000008</v>
      </c>
      <c r="AR3" s="1">
        <v>9313.7250000000004</v>
      </c>
      <c r="AS3" s="1">
        <v>9312.4320000000007</v>
      </c>
      <c r="AT3" s="3">
        <v>9516.2569999999996</v>
      </c>
    </row>
    <row r="4" spans="1:46" x14ac:dyDescent="0.3">
      <c r="A4" s="2" t="s">
        <v>67</v>
      </c>
      <c r="B4" s="1">
        <v>286474.84399999998</v>
      </c>
      <c r="C4" s="1">
        <v>322099.06300000002</v>
      </c>
      <c r="D4" s="1">
        <v>319824.77399999998</v>
      </c>
      <c r="E4" s="1">
        <v>287662.35200000001</v>
      </c>
      <c r="F4" s="1">
        <v>302700.83</v>
      </c>
      <c r="G4" s="1">
        <v>315268.11</v>
      </c>
      <c r="H4" s="1">
        <v>292335.99099999998</v>
      </c>
      <c r="I4" s="1">
        <v>302694.88</v>
      </c>
      <c r="J4" s="1">
        <v>306994.08799999999</v>
      </c>
      <c r="K4" s="1">
        <v>318175.71500000003</v>
      </c>
      <c r="L4" s="1">
        <v>338087.87099999998</v>
      </c>
      <c r="M4" s="1">
        <v>345936.12099999998</v>
      </c>
      <c r="N4" s="1">
        <v>358213.94300000003</v>
      </c>
      <c r="O4" s="1">
        <v>363057.56599999999</v>
      </c>
      <c r="P4" s="1">
        <v>380032.57299999997</v>
      </c>
      <c r="Q4" s="1">
        <v>338469.16100000002</v>
      </c>
      <c r="R4" s="1">
        <v>378194.174</v>
      </c>
      <c r="S4" s="1">
        <v>423291.57299999997</v>
      </c>
      <c r="T4" s="1">
        <v>457468.80800000002</v>
      </c>
      <c r="U4" s="1">
        <v>484828.45600000001</v>
      </c>
      <c r="V4" s="1">
        <v>515900.74099999998</v>
      </c>
      <c r="W4" s="1">
        <v>512634.147</v>
      </c>
      <c r="X4" s="1">
        <v>515954.55699999997</v>
      </c>
      <c r="Y4" s="1">
        <v>539396.93799999997</v>
      </c>
      <c r="Z4" s="1">
        <v>552018.80299999996</v>
      </c>
      <c r="AA4" s="1">
        <v>570810.48199999996</v>
      </c>
      <c r="AB4" s="1">
        <v>619705.41</v>
      </c>
      <c r="AC4" s="1">
        <v>640216.26500000001</v>
      </c>
      <c r="AD4" s="1">
        <v>624890.54399999999</v>
      </c>
      <c r="AE4" s="1">
        <v>577894.44700000004</v>
      </c>
      <c r="AF4" s="1">
        <v>622242.12699999998</v>
      </c>
      <c r="AG4" s="1">
        <v>636987.93799999997</v>
      </c>
      <c r="AH4" s="1">
        <v>654371.15500000003</v>
      </c>
      <c r="AI4" s="1">
        <v>638205.06299999997</v>
      </c>
      <c r="AJ4" s="1">
        <v>665679.40399999998</v>
      </c>
      <c r="AK4" s="1">
        <v>688313.45200000005</v>
      </c>
      <c r="AL4" s="1">
        <v>671980.701</v>
      </c>
      <c r="AM4" s="1">
        <v>695124.41399999999</v>
      </c>
      <c r="AN4" s="1">
        <v>761978.33499999996</v>
      </c>
      <c r="AO4" s="1">
        <v>763827.49800000002</v>
      </c>
      <c r="AP4" s="1">
        <v>676930.61699999997</v>
      </c>
      <c r="AQ4" s="1">
        <v>741059.84100000001</v>
      </c>
      <c r="AR4" s="1">
        <v>768414.326</v>
      </c>
      <c r="AS4" s="1">
        <v>790515.65899999999</v>
      </c>
      <c r="AT4" s="3">
        <v>816347.27899999998</v>
      </c>
    </row>
    <row r="5" spans="1:46" x14ac:dyDescent="0.3">
      <c r="A5" s="7" t="s">
        <v>68</v>
      </c>
      <c r="B5" s="8">
        <v>281926.64299999998</v>
      </c>
      <c r="C5" s="8">
        <v>311450.658</v>
      </c>
      <c r="D5" s="8">
        <v>314879.5</v>
      </c>
      <c r="E5" s="8">
        <v>310780.56199999998</v>
      </c>
      <c r="F5" s="8">
        <v>322673.15899999999</v>
      </c>
      <c r="G5" s="8">
        <v>325995.94099999999</v>
      </c>
      <c r="H5" s="8">
        <v>318974.28999999998</v>
      </c>
      <c r="I5" s="8">
        <v>325004.62400000001</v>
      </c>
      <c r="J5" s="8">
        <v>331353.78399999999</v>
      </c>
      <c r="K5" s="8">
        <v>348540.13099999999</v>
      </c>
      <c r="L5" s="8">
        <v>369372.63400000002</v>
      </c>
      <c r="M5" s="8">
        <v>393535.109</v>
      </c>
      <c r="N5" s="8">
        <v>413544.761</v>
      </c>
      <c r="O5" s="8">
        <v>439273.04300000001</v>
      </c>
      <c r="P5" s="8">
        <v>462188.48</v>
      </c>
      <c r="Q5" s="8">
        <v>444955.22399999999</v>
      </c>
      <c r="R5" s="8">
        <v>455644.74900000001</v>
      </c>
      <c r="S5" s="8">
        <v>491199.75599999999</v>
      </c>
      <c r="T5" s="8">
        <v>533062.58600000001</v>
      </c>
      <c r="U5" s="8">
        <v>563174.15700000001</v>
      </c>
      <c r="V5" s="8">
        <v>603852.43299999996</v>
      </c>
      <c r="W5" s="8">
        <v>601438.47499999998</v>
      </c>
      <c r="X5" s="8">
        <v>619974.11499999999</v>
      </c>
      <c r="Y5" s="8">
        <v>641929.87399999995</v>
      </c>
      <c r="Z5" s="8">
        <v>673398.43900000001</v>
      </c>
      <c r="AA5" s="8">
        <v>689158.33600000001</v>
      </c>
      <c r="AB5" s="8">
        <v>734675.51100000006</v>
      </c>
      <c r="AC5" s="8">
        <v>774916.31400000001</v>
      </c>
      <c r="AD5" s="8">
        <v>787839.24600000004</v>
      </c>
      <c r="AE5" s="8">
        <v>727138.51699999999</v>
      </c>
      <c r="AF5" s="8">
        <v>779644.05900000001</v>
      </c>
      <c r="AG5" s="8">
        <v>816593.66700000002</v>
      </c>
      <c r="AH5" s="8">
        <v>862375.65300000005</v>
      </c>
      <c r="AI5" s="8">
        <v>870862.06599999999</v>
      </c>
      <c r="AJ5" s="8">
        <v>895164.52500000002</v>
      </c>
      <c r="AK5" s="8">
        <v>926942.79700000002</v>
      </c>
      <c r="AL5" s="8">
        <v>955092.53599999996</v>
      </c>
      <c r="AM5" s="8">
        <v>993606.34400000004</v>
      </c>
      <c r="AN5" s="8">
        <v>1018194.789</v>
      </c>
      <c r="AO5" s="8">
        <v>1023769.023</v>
      </c>
      <c r="AP5" s="8">
        <v>953891.26500000001</v>
      </c>
      <c r="AQ5" s="8">
        <v>1000821.346</v>
      </c>
      <c r="AR5" s="8">
        <v>1029071.326</v>
      </c>
      <c r="AS5" s="8">
        <v>1065940.3259999999</v>
      </c>
      <c r="AT5" s="9">
        <v>1103970.5090000001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FEB9-C0A3-4B16-8BE3-1EBCEFC48138}">
  <dimension ref="A1:E46"/>
  <sheetViews>
    <sheetView workbookViewId="0">
      <selection activeCell="B33" sqref="B33"/>
    </sheetView>
  </sheetViews>
  <sheetFormatPr baseColWidth="10" defaultColWidth="8.88671875" defaultRowHeight="14.4" x14ac:dyDescent="0.3"/>
  <cols>
    <col min="2" max="2" width="25.44140625" customWidth="1"/>
    <col min="3" max="3" width="24" customWidth="1"/>
    <col min="4" max="4" width="23.109375" customWidth="1"/>
    <col min="5" max="5" width="18.33203125" customWidth="1"/>
  </cols>
  <sheetData>
    <row r="1" spans="1:5" x14ac:dyDescent="0.3">
      <c r="A1" t="s">
        <v>5</v>
      </c>
      <c r="B1" t="s">
        <v>13</v>
      </c>
      <c r="C1" t="s">
        <v>14</v>
      </c>
      <c r="D1" t="s">
        <v>15</v>
      </c>
      <c r="E1" t="s">
        <v>69</v>
      </c>
    </row>
    <row r="2" spans="1:5" x14ac:dyDescent="0.3">
      <c r="A2">
        <v>1980</v>
      </c>
      <c r="B2">
        <v>6737.2730000000001</v>
      </c>
      <c r="C2">
        <v>286474.84399999998</v>
      </c>
      <c r="D2">
        <v>281926.64299999998</v>
      </c>
      <c r="E2">
        <v>617991.07999999996</v>
      </c>
    </row>
    <row r="3" spans="1:5" x14ac:dyDescent="0.3">
      <c r="A3">
        <v>1981</v>
      </c>
      <c r="B3">
        <v>7256.2169999999996</v>
      </c>
      <c r="C3">
        <v>322099.06300000002</v>
      </c>
      <c r="D3">
        <v>311450.658</v>
      </c>
      <c r="E3">
        <v>688550.973</v>
      </c>
    </row>
    <row r="4" spans="1:5" x14ac:dyDescent="0.3">
      <c r="A4">
        <v>1982</v>
      </c>
      <c r="B4">
        <v>7216.241</v>
      </c>
      <c r="C4">
        <v>319824.77399999998</v>
      </c>
      <c r="D4">
        <v>314879.5</v>
      </c>
      <c r="E4">
        <v>689748.59600000002</v>
      </c>
    </row>
    <row r="5" spans="1:5" x14ac:dyDescent="0.3">
      <c r="A5">
        <v>1983</v>
      </c>
      <c r="B5">
        <v>7399.2569999999996</v>
      </c>
      <c r="C5">
        <v>287662.35200000001</v>
      </c>
      <c r="D5">
        <v>310780.56199999998</v>
      </c>
      <c r="E5">
        <v>650982.13300000003</v>
      </c>
    </row>
    <row r="6" spans="1:5" x14ac:dyDescent="0.3">
      <c r="A6">
        <v>1984</v>
      </c>
      <c r="B6">
        <v>7570.3059999999996</v>
      </c>
      <c r="C6">
        <v>302700.83</v>
      </c>
      <c r="D6">
        <v>322673.15899999999</v>
      </c>
      <c r="E6">
        <v>680103.57499999995</v>
      </c>
    </row>
    <row r="7" spans="1:5" x14ac:dyDescent="0.3">
      <c r="A7">
        <v>1985</v>
      </c>
      <c r="B7">
        <v>7830.1350000000002</v>
      </c>
      <c r="C7">
        <v>315268.11</v>
      </c>
      <c r="D7">
        <v>325995.94099999999</v>
      </c>
      <c r="E7">
        <v>697456.76</v>
      </c>
    </row>
    <row r="8" spans="1:5" x14ac:dyDescent="0.3">
      <c r="A8">
        <v>1986</v>
      </c>
      <c r="B8">
        <v>7861.701</v>
      </c>
      <c r="C8">
        <v>292335.99099999998</v>
      </c>
      <c r="D8">
        <v>318974.28999999998</v>
      </c>
      <c r="E8">
        <v>665305.11699999997</v>
      </c>
    </row>
    <row r="9" spans="1:5" x14ac:dyDescent="0.3">
      <c r="A9">
        <v>1987</v>
      </c>
      <c r="B9">
        <v>8031.5050000000001</v>
      </c>
      <c r="C9">
        <v>302694.88</v>
      </c>
      <c r="D9">
        <v>325004.62400000001</v>
      </c>
      <c r="E9">
        <v>683097.92</v>
      </c>
    </row>
    <row r="10" spans="1:5" x14ac:dyDescent="0.3">
      <c r="A10">
        <v>1988</v>
      </c>
      <c r="B10">
        <v>7983.1270000000004</v>
      </c>
      <c r="C10">
        <v>306994.08799999999</v>
      </c>
      <c r="D10">
        <v>331353.78399999999</v>
      </c>
      <c r="E10">
        <v>694487.69200000004</v>
      </c>
    </row>
    <row r="11" spans="1:5" x14ac:dyDescent="0.3">
      <c r="A11">
        <v>1989</v>
      </c>
      <c r="B11">
        <v>8056.6639999999998</v>
      </c>
      <c r="C11">
        <v>318175.71500000003</v>
      </c>
      <c r="D11">
        <v>348540.13099999999</v>
      </c>
      <c r="E11">
        <v>725048.31700000004</v>
      </c>
    </row>
    <row r="12" spans="1:5" x14ac:dyDescent="0.3">
      <c r="A12">
        <v>1990</v>
      </c>
      <c r="B12">
        <v>8489.5630000000001</v>
      </c>
      <c r="C12">
        <v>338087.87099999998</v>
      </c>
      <c r="D12">
        <v>369372.63400000002</v>
      </c>
      <c r="E12">
        <v>769293.924</v>
      </c>
    </row>
    <row r="13" spans="1:5" x14ac:dyDescent="0.3">
      <c r="A13">
        <v>1991</v>
      </c>
      <c r="B13">
        <v>8691.0740000000005</v>
      </c>
      <c r="C13">
        <v>345936.12099999998</v>
      </c>
      <c r="D13">
        <v>393535.109</v>
      </c>
      <c r="E13">
        <v>803906.22100000002</v>
      </c>
    </row>
    <row r="14" spans="1:5" x14ac:dyDescent="0.3">
      <c r="A14">
        <v>1992</v>
      </c>
      <c r="B14">
        <v>8504.8240000000005</v>
      </c>
      <c r="C14">
        <v>358213.94300000003</v>
      </c>
      <c r="D14">
        <v>413544.761</v>
      </c>
      <c r="E14">
        <v>838399.23600000003</v>
      </c>
    </row>
    <row r="15" spans="1:5" x14ac:dyDescent="0.3">
      <c r="A15">
        <v>1993</v>
      </c>
      <c r="B15">
        <v>7731.3440000000001</v>
      </c>
      <c r="C15">
        <v>363057.56599999999</v>
      </c>
      <c r="D15">
        <v>439273.04300000001</v>
      </c>
      <c r="E15">
        <v>870417.87600000005</v>
      </c>
    </row>
    <row r="16" spans="1:5" x14ac:dyDescent="0.3">
      <c r="A16">
        <v>1994</v>
      </c>
      <c r="B16">
        <v>9343.1769999999997</v>
      </c>
      <c r="C16">
        <v>380032.57299999997</v>
      </c>
      <c r="D16">
        <v>462188.48</v>
      </c>
      <c r="E16">
        <v>916740.22699999996</v>
      </c>
    </row>
    <row r="17" spans="1:5" x14ac:dyDescent="0.3">
      <c r="A17">
        <v>1995</v>
      </c>
      <c r="B17">
        <v>10254.858</v>
      </c>
      <c r="C17">
        <v>338469.16100000002</v>
      </c>
      <c r="D17">
        <v>444955.22399999999</v>
      </c>
      <c r="E17">
        <v>853356.8</v>
      </c>
    </row>
    <row r="18" spans="1:5" x14ac:dyDescent="0.3">
      <c r="A18">
        <v>1996</v>
      </c>
      <c r="B18">
        <v>10527.741</v>
      </c>
      <c r="C18">
        <v>378194.174</v>
      </c>
      <c r="D18">
        <v>455644.74900000001</v>
      </c>
      <c r="E18">
        <v>906779.12199999997</v>
      </c>
    </row>
    <row r="19" spans="1:5" x14ac:dyDescent="0.3">
      <c r="A19">
        <v>1997</v>
      </c>
      <c r="B19">
        <v>10040.763000000001</v>
      </c>
      <c r="C19">
        <v>423291.57299999997</v>
      </c>
      <c r="D19">
        <v>491199.75599999999</v>
      </c>
      <c r="E19">
        <v>993197.62300000002</v>
      </c>
    </row>
    <row r="20" spans="1:5" x14ac:dyDescent="0.3">
      <c r="A20">
        <v>1998</v>
      </c>
      <c r="B20">
        <v>11577.028</v>
      </c>
      <c r="C20">
        <v>457468.80800000002</v>
      </c>
      <c r="D20">
        <v>533062.58600000001</v>
      </c>
      <c r="E20">
        <v>1077062.017</v>
      </c>
    </row>
    <row r="21" spans="1:5" x14ac:dyDescent="0.3">
      <c r="A21">
        <v>1999</v>
      </c>
      <c r="B21">
        <v>9889.4259999999995</v>
      </c>
      <c r="C21">
        <v>484828.45600000001</v>
      </c>
      <c r="D21">
        <v>563174.15700000001</v>
      </c>
      <c r="E21">
        <v>1137219.584</v>
      </c>
    </row>
    <row r="22" spans="1:5" x14ac:dyDescent="0.3">
      <c r="A22">
        <v>2000</v>
      </c>
      <c r="B22">
        <v>9237.6759999999995</v>
      </c>
      <c r="C22">
        <v>515900.74099999998</v>
      </c>
      <c r="D22">
        <v>603852.43299999996</v>
      </c>
      <c r="E22">
        <v>1212180.7439999999</v>
      </c>
    </row>
    <row r="23" spans="1:5" x14ac:dyDescent="0.3">
      <c r="A23">
        <v>2001</v>
      </c>
      <c r="B23">
        <v>10663.269</v>
      </c>
      <c r="C23">
        <v>512634.147</v>
      </c>
      <c r="D23">
        <v>601438.47499999998</v>
      </c>
      <c r="E23">
        <v>1213057.5549999999</v>
      </c>
    </row>
    <row r="24" spans="1:5" x14ac:dyDescent="0.3">
      <c r="A24">
        <v>2002</v>
      </c>
      <c r="B24">
        <v>11199.993</v>
      </c>
      <c r="C24">
        <v>515954.55699999997</v>
      </c>
      <c r="D24">
        <v>619974.11499999999</v>
      </c>
      <c r="E24">
        <v>1238800.3319999999</v>
      </c>
    </row>
    <row r="25" spans="1:5" x14ac:dyDescent="0.3">
      <c r="A25">
        <v>2003</v>
      </c>
      <c r="B25">
        <v>11260.127</v>
      </c>
      <c r="C25">
        <v>539396.93799999997</v>
      </c>
      <c r="D25">
        <v>641929.87399999995</v>
      </c>
      <c r="E25">
        <v>1289662.122</v>
      </c>
    </row>
    <row r="26" spans="1:5" x14ac:dyDescent="0.3">
      <c r="A26">
        <v>2004</v>
      </c>
      <c r="B26">
        <v>10348.764999999999</v>
      </c>
      <c r="C26">
        <v>552018.80299999996</v>
      </c>
      <c r="D26">
        <v>673398.43900000001</v>
      </c>
      <c r="E26">
        <v>1335507.8389999999</v>
      </c>
    </row>
    <row r="27" spans="1:5" x14ac:dyDescent="0.3">
      <c r="A27">
        <v>2005</v>
      </c>
      <c r="B27">
        <v>9649.5329999999994</v>
      </c>
      <c r="C27">
        <v>570810.48199999996</v>
      </c>
      <c r="D27">
        <v>689158.33600000001</v>
      </c>
      <c r="E27">
        <v>1368861.9909999999</v>
      </c>
    </row>
    <row r="28" spans="1:5" x14ac:dyDescent="0.3">
      <c r="A28">
        <v>2006</v>
      </c>
      <c r="B28">
        <v>9426.8179999999993</v>
      </c>
      <c r="C28">
        <v>619705.41</v>
      </c>
      <c r="D28">
        <v>734675.51100000006</v>
      </c>
      <c r="E28">
        <v>1469583.898</v>
      </c>
    </row>
    <row r="29" spans="1:5" x14ac:dyDescent="0.3">
      <c r="A29">
        <v>2007</v>
      </c>
      <c r="B29">
        <v>10348.043</v>
      </c>
      <c r="C29">
        <v>640216.26500000001</v>
      </c>
      <c r="D29">
        <v>774916.31400000001</v>
      </c>
      <c r="E29">
        <v>1532409.5149999999</v>
      </c>
    </row>
    <row r="30" spans="1:5" x14ac:dyDescent="0.3">
      <c r="A30">
        <v>2008</v>
      </c>
      <c r="B30">
        <v>9707.6460000000006</v>
      </c>
      <c r="C30">
        <v>624890.54399999999</v>
      </c>
      <c r="D30">
        <v>787839.24600000004</v>
      </c>
      <c r="E30">
        <v>1531655.04</v>
      </c>
    </row>
    <row r="31" spans="1:5" x14ac:dyDescent="0.3">
      <c r="A31">
        <v>2009</v>
      </c>
      <c r="B31">
        <v>10150.258</v>
      </c>
      <c r="C31">
        <v>577894.44700000004</v>
      </c>
      <c r="D31">
        <v>727138.51699999999</v>
      </c>
      <c r="E31">
        <v>1411038.652</v>
      </c>
    </row>
    <row r="32" spans="1:5" x14ac:dyDescent="0.3">
      <c r="A32">
        <v>2010</v>
      </c>
      <c r="B32">
        <v>10616.776</v>
      </c>
      <c r="C32">
        <v>622242.12699999998</v>
      </c>
      <c r="D32">
        <v>779644.05900000001</v>
      </c>
      <c r="E32">
        <v>1509564.2709999999</v>
      </c>
    </row>
    <row r="33" spans="1:5" x14ac:dyDescent="0.3">
      <c r="A33">
        <v>2011</v>
      </c>
      <c r="B33">
        <v>9489.0930000000008</v>
      </c>
      <c r="C33">
        <v>636987.93799999997</v>
      </c>
      <c r="D33">
        <v>816593.66700000002</v>
      </c>
      <c r="E33">
        <v>1558834.9950000001</v>
      </c>
    </row>
    <row r="34" spans="1:5" x14ac:dyDescent="0.3">
      <c r="A34">
        <v>2012</v>
      </c>
      <c r="B34">
        <v>9890.6149999999998</v>
      </c>
      <c r="C34">
        <v>654371.15500000003</v>
      </c>
      <c r="D34">
        <v>862375.65300000005</v>
      </c>
      <c r="E34">
        <v>1621930.2709999999</v>
      </c>
    </row>
    <row r="35" spans="1:5" x14ac:dyDescent="0.3">
      <c r="A35">
        <v>2013</v>
      </c>
      <c r="B35">
        <v>9741.9639999999999</v>
      </c>
      <c r="C35">
        <v>638205.06299999997</v>
      </c>
      <c r="D35">
        <v>870862.06599999999</v>
      </c>
      <c r="E35">
        <v>1611568.7879999999</v>
      </c>
    </row>
    <row r="36" spans="1:5" x14ac:dyDescent="0.3">
      <c r="A36">
        <v>2014</v>
      </c>
      <c r="B36">
        <v>9918.2970000000005</v>
      </c>
      <c r="C36">
        <v>665679.40399999998</v>
      </c>
      <c r="D36">
        <v>895164.52500000002</v>
      </c>
      <c r="E36">
        <v>1666974.7009999999</v>
      </c>
    </row>
    <row r="37" spans="1:5" x14ac:dyDescent="0.3">
      <c r="A37">
        <v>2015</v>
      </c>
      <c r="B37">
        <v>9215.7270000000008</v>
      </c>
      <c r="C37">
        <v>688313.45200000005</v>
      </c>
      <c r="D37">
        <v>926942.79700000002</v>
      </c>
      <c r="E37">
        <v>1728163.9920000001</v>
      </c>
    </row>
    <row r="38" spans="1:5" x14ac:dyDescent="0.3">
      <c r="A38">
        <v>2016</v>
      </c>
      <c r="B38">
        <v>8444.3469999999998</v>
      </c>
      <c r="C38">
        <v>671980.701</v>
      </c>
      <c r="D38">
        <v>955092.53599999996</v>
      </c>
      <c r="E38">
        <v>1743960.8829999999</v>
      </c>
    </row>
    <row r="39" spans="1:5" x14ac:dyDescent="0.3">
      <c r="A39">
        <v>2017</v>
      </c>
      <c r="B39">
        <v>8499.7420000000002</v>
      </c>
      <c r="C39">
        <v>695124.41399999999</v>
      </c>
      <c r="D39">
        <v>993606.34400000004</v>
      </c>
      <c r="E39">
        <v>1809343.5560000001</v>
      </c>
    </row>
    <row r="40" spans="1:5" x14ac:dyDescent="0.3">
      <c r="A40">
        <v>2018</v>
      </c>
      <c r="B40">
        <v>8533.4869999999992</v>
      </c>
      <c r="C40">
        <v>761978.33499999996</v>
      </c>
      <c r="D40">
        <v>1018194.789</v>
      </c>
      <c r="E40">
        <v>1909026.4350000001</v>
      </c>
    </row>
    <row r="41" spans="1:5" x14ac:dyDescent="0.3">
      <c r="A41">
        <v>2019</v>
      </c>
      <c r="B41">
        <v>9383.7450000000008</v>
      </c>
      <c r="C41">
        <v>763827.49800000002</v>
      </c>
      <c r="D41">
        <v>1023769.023</v>
      </c>
      <c r="E41">
        <v>1918825.0060000001</v>
      </c>
    </row>
    <row r="42" spans="1:5" x14ac:dyDescent="0.3">
      <c r="A42">
        <v>2020</v>
      </c>
      <c r="B42">
        <v>9321.4390000000003</v>
      </c>
      <c r="C42">
        <v>676930.61699999997</v>
      </c>
      <c r="D42">
        <v>953891.26500000001</v>
      </c>
      <c r="E42">
        <v>1743165.6229999999</v>
      </c>
    </row>
    <row r="43" spans="1:5" x14ac:dyDescent="0.3">
      <c r="A43">
        <v>2021</v>
      </c>
      <c r="B43">
        <v>9069.9770000000008</v>
      </c>
      <c r="C43">
        <v>741059.84100000001</v>
      </c>
      <c r="D43">
        <v>1000821.346</v>
      </c>
      <c r="E43">
        <v>1865875.274</v>
      </c>
    </row>
    <row r="44" spans="1:5" x14ac:dyDescent="0.3">
      <c r="A44">
        <v>2022</v>
      </c>
      <c r="B44">
        <v>9313.7250000000004</v>
      </c>
      <c r="C44">
        <v>768414.326</v>
      </c>
      <c r="D44">
        <v>1029071.326</v>
      </c>
      <c r="E44">
        <v>1928658.429</v>
      </c>
    </row>
    <row r="45" spans="1:5" x14ac:dyDescent="0.3">
      <c r="A45">
        <v>2023</v>
      </c>
      <c r="B45">
        <v>9312.4320000000007</v>
      </c>
      <c r="C45">
        <v>790515.65899999999</v>
      </c>
      <c r="D45">
        <v>1065940.3259999999</v>
      </c>
      <c r="E45">
        <v>1991519.7</v>
      </c>
    </row>
    <row r="46" spans="1:5" x14ac:dyDescent="0.3">
      <c r="A46">
        <v>2024</v>
      </c>
      <c r="B46">
        <v>9516.2569999999996</v>
      </c>
      <c r="C46">
        <v>816347.27899999998</v>
      </c>
      <c r="D46">
        <v>1103970.5090000001</v>
      </c>
      <c r="E46">
        <v>2059995.5649999999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DC66-608A-41F8-92B6-CC8F971F95A7}">
  <dimension ref="A1:C181"/>
  <sheetViews>
    <sheetView workbookViewId="0">
      <selection activeCell="E25" sqref="E25"/>
    </sheetView>
  </sheetViews>
  <sheetFormatPr baseColWidth="10" defaultColWidth="8.88671875" defaultRowHeight="14.4" x14ac:dyDescent="0.3"/>
  <cols>
    <col min="1" max="1" width="22.44140625" bestFit="1" customWidth="1"/>
    <col min="2" max="2" width="6.88671875" bestFit="1" customWidth="1"/>
    <col min="3" max="3" width="12.5546875" bestFit="1" customWidth="1"/>
  </cols>
  <sheetData>
    <row r="1" spans="1:3" x14ac:dyDescent="0.3">
      <c r="A1" t="s">
        <v>70</v>
      </c>
      <c r="B1" t="s">
        <v>5</v>
      </c>
      <c r="C1" t="s">
        <v>71</v>
      </c>
    </row>
    <row r="2" spans="1:3" x14ac:dyDescent="0.3">
      <c r="A2" t="s">
        <v>65</v>
      </c>
      <c r="B2">
        <v>1980</v>
      </c>
      <c r="C2">
        <v>617991.07999999996</v>
      </c>
    </row>
    <row r="3" spans="1:3" x14ac:dyDescent="0.3">
      <c r="A3" t="s">
        <v>65</v>
      </c>
      <c r="B3">
        <v>1981</v>
      </c>
      <c r="C3">
        <v>688550.973</v>
      </c>
    </row>
    <row r="4" spans="1:3" x14ac:dyDescent="0.3">
      <c r="A4" t="s">
        <v>65</v>
      </c>
      <c r="B4">
        <v>1982</v>
      </c>
      <c r="C4">
        <v>689748.59600000002</v>
      </c>
    </row>
    <row r="5" spans="1:3" x14ac:dyDescent="0.3">
      <c r="A5" t="s">
        <v>65</v>
      </c>
      <c r="B5">
        <v>1983</v>
      </c>
      <c r="C5">
        <v>650982.13300000003</v>
      </c>
    </row>
    <row r="6" spans="1:3" x14ac:dyDescent="0.3">
      <c r="A6" t="s">
        <v>65</v>
      </c>
      <c r="B6">
        <v>1984</v>
      </c>
      <c r="C6">
        <v>680103.57499999995</v>
      </c>
    </row>
    <row r="7" spans="1:3" x14ac:dyDescent="0.3">
      <c r="A7" t="s">
        <v>65</v>
      </c>
      <c r="B7">
        <v>1985</v>
      </c>
      <c r="C7">
        <v>697456.76</v>
      </c>
    </row>
    <row r="8" spans="1:3" x14ac:dyDescent="0.3">
      <c r="A8" t="s">
        <v>65</v>
      </c>
      <c r="B8">
        <v>1986</v>
      </c>
      <c r="C8">
        <v>665305.11699999997</v>
      </c>
    </row>
    <row r="9" spans="1:3" x14ac:dyDescent="0.3">
      <c r="A9" t="s">
        <v>65</v>
      </c>
      <c r="B9">
        <v>1987</v>
      </c>
      <c r="C9">
        <v>683097.92</v>
      </c>
    </row>
    <row r="10" spans="1:3" x14ac:dyDescent="0.3">
      <c r="A10" t="s">
        <v>65</v>
      </c>
      <c r="B10">
        <v>1988</v>
      </c>
      <c r="C10">
        <v>694487.69200000004</v>
      </c>
    </row>
    <row r="11" spans="1:3" x14ac:dyDescent="0.3">
      <c r="A11" t="s">
        <v>65</v>
      </c>
      <c r="B11">
        <v>1989</v>
      </c>
      <c r="C11">
        <v>725048.31700000004</v>
      </c>
    </row>
    <row r="12" spans="1:3" x14ac:dyDescent="0.3">
      <c r="A12" t="s">
        <v>65</v>
      </c>
      <c r="B12">
        <v>1990</v>
      </c>
      <c r="C12">
        <v>769293.924</v>
      </c>
    </row>
    <row r="13" spans="1:3" x14ac:dyDescent="0.3">
      <c r="A13" t="s">
        <v>65</v>
      </c>
      <c r="B13">
        <v>1991</v>
      </c>
      <c r="C13">
        <v>803906.22100000002</v>
      </c>
    </row>
    <row r="14" spans="1:3" x14ac:dyDescent="0.3">
      <c r="A14" t="s">
        <v>65</v>
      </c>
      <c r="B14">
        <v>1992</v>
      </c>
      <c r="C14">
        <v>838399.23600000003</v>
      </c>
    </row>
    <row r="15" spans="1:3" x14ac:dyDescent="0.3">
      <c r="A15" t="s">
        <v>65</v>
      </c>
      <c r="B15">
        <v>1993</v>
      </c>
      <c r="C15">
        <v>870417.87600000005</v>
      </c>
    </row>
    <row r="16" spans="1:3" x14ac:dyDescent="0.3">
      <c r="A16" t="s">
        <v>65</v>
      </c>
      <c r="B16">
        <v>1994</v>
      </c>
      <c r="C16">
        <v>916740.22699999996</v>
      </c>
    </row>
    <row r="17" spans="1:3" x14ac:dyDescent="0.3">
      <c r="A17" t="s">
        <v>65</v>
      </c>
      <c r="B17">
        <v>1995</v>
      </c>
      <c r="C17">
        <v>853356.8</v>
      </c>
    </row>
    <row r="18" spans="1:3" x14ac:dyDescent="0.3">
      <c r="A18" t="s">
        <v>65</v>
      </c>
      <c r="B18">
        <v>1996</v>
      </c>
      <c r="C18">
        <v>906779.12199999997</v>
      </c>
    </row>
    <row r="19" spans="1:3" x14ac:dyDescent="0.3">
      <c r="A19" t="s">
        <v>65</v>
      </c>
      <c r="B19">
        <v>1997</v>
      </c>
      <c r="C19">
        <v>993197.62300000002</v>
      </c>
    </row>
    <row r="20" spans="1:3" x14ac:dyDescent="0.3">
      <c r="A20" t="s">
        <v>65</v>
      </c>
      <c r="B20">
        <v>1998</v>
      </c>
      <c r="C20">
        <v>1077062.017</v>
      </c>
    </row>
    <row r="21" spans="1:3" x14ac:dyDescent="0.3">
      <c r="A21" t="s">
        <v>65</v>
      </c>
      <c r="B21">
        <v>1999</v>
      </c>
      <c r="C21">
        <v>1137219.584</v>
      </c>
    </row>
    <row r="22" spans="1:3" x14ac:dyDescent="0.3">
      <c r="A22" t="s">
        <v>65</v>
      </c>
      <c r="B22">
        <v>2000</v>
      </c>
      <c r="C22">
        <v>1212180.7439999999</v>
      </c>
    </row>
    <row r="23" spans="1:3" x14ac:dyDescent="0.3">
      <c r="A23" t="s">
        <v>65</v>
      </c>
      <c r="B23">
        <v>2001</v>
      </c>
      <c r="C23">
        <v>1213057.5549999999</v>
      </c>
    </row>
    <row r="24" spans="1:3" x14ac:dyDescent="0.3">
      <c r="A24" t="s">
        <v>65</v>
      </c>
      <c r="B24">
        <v>2002</v>
      </c>
      <c r="C24">
        <v>1238800.3319999999</v>
      </c>
    </row>
    <row r="25" spans="1:3" x14ac:dyDescent="0.3">
      <c r="A25" t="s">
        <v>65</v>
      </c>
      <c r="B25">
        <v>2003</v>
      </c>
      <c r="C25">
        <v>1289662.122</v>
      </c>
    </row>
    <row r="26" spans="1:3" x14ac:dyDescent="0.3">
      <c r="A26" t="s">
        <v>65</v>
      </c>
      <c r="B26">
        <v>2004</v>
      </c>
      <c r="C26">
        <v>1335507.8389999999</v>
      </c>
    </row>
    <row r="27" spans="1:3" x14ac:dyDescent="0.3">
      <c r="A27" t="s">
        <v>65</v>
      </c>
      <c r="B27">
        <v>2005</v>
      </c>
      <c r="C27">
        <v>1368861.9909999999</v>
      </c>
    </row>
    <row r="28" spans="1:3" x14ac:dyDescent="0.3">
      <c r="A28" t="s">
        <v>65</v>
      </c>
      <c r="B28">
        <v>2006</v>
      </c>
      <c r="C28">
        <v>1469583.898</v>
      </c>
    </row>
    <row r="29" spans="1:3" x14ac:dyDescent="0.3">
      <c r="A29" t="s">
        <v>65</v>
      </c>
      <c r="B29">
        <v>2007</v>
      </c>
      <c r="C29">
        <v>1532409.5149999999</v>
      </c>
    </row>
    <row r="30" spans="1:3" x14ac:dyDescent="0.3">
      <c r="A30" t="s">
        <v>65</v>
      </c>
      <c r="B30">
        <v>2008</v>
      </c>
      <c r="C30">
        <v>1531655.04</v>
      </c>
    </row>
    <row r="31" spans="1:3" x14ac:dyDescent="0.3">
      <c r="A31" t="s">
        <v>65</v>
      </c>
      <c r="B31">
        <v>2009</v>
      </c>
      <c r="C31">
        <v>1411038.652</v>
      </c>
    </row>
    <row r="32" spans="1:3" x14ac:dyDescent="0.3">
      <c r="A32" t="s">
        <v>65</v>
      </c>
      <c r="B32">
        <v>2010</v>
      </c>
      <c r="C32">
        <v>1509564.2709999999</v>
      </c>
    </row>
    <row r="33" spans="1:3" x14ac:dyDescent="0.3">
      <c r="A33" t="s">
        <v>65</v>
      </c>
      <c r="B33">
        <v>2011</v>
      </c>
      <c r="C33">
        <v>1558834.9950000001</v>
      </c>
    </row>
    <row r="34" spans="1:3" x14ac:dyDescent="0.3">
      <c r="A34" t="s">
        <v>65</v>
      </c>
      <c r="B34">
        <v>2012</v>
      </c>
      <c r="C34">
        <v>1621930.2709999999</v>
      </c>
    </row>
    <row r="35" spans="1:3" x14ac:dyDescent="0.3">
      <c r="A35" t="s">
        <v>65</v>
      </c>
      <c r="B35">
        <v>2013</v>
      </c>
      <c r="C35">
        <v>1611568.7879999999</v>
      </c>
    </row>
    <row r="36" spans="1:3" x14ac:dyDescent="0.3">
      <c r="A36" t="s">
        <v>65</v>
      </c>
      <c r="B36">
        <v>2014</v>
      </c>
      <c r="C36">
        <v>1666974.7009999999</v>
      </c>
    </row>
    <row r="37" spans="1:3" x14ac:dyDescent="0.3">
      <c r="A37" t="s">
        <v>65</v>
      </c>
      <c r="B37">
        <v>2015</v>
      </c>
      <c r="C37">
        <v>1728163.9920000001</v>
      </c>
    </row>
    <row r="38" spans="1:3" x14ac:dyDescent="0.3">
      <c r="A38" t="s">
        <v>65</v>
      </c>
      <c r="B38">
        <v>2016</v>
      </c>
      <c r="C38">
        <v>1743960.8829999999</v>
      </c>
    </row>
    <row r="39" spans="1:3" x14ac:dyDescent="0.3">
      <c r="A39" t="s">
        <v>65</v>
      </c>
      <c r="B39">
        <v>2017</v>
      </c>
      <c r="C39">
        <v>1809343.5560000001</v>
      </c>
    </row>
    <row r="40" spans="1:3" x14ac:dyDescent="0.3">
      <c r="A40" t="s">
        <v>65</v>
      </c>
      <c r="B40">
        <v>2018</v>
      </c>
      <c r="C40">
        <v>1909026.4350000001</v>
      </c>
    </row>
    <row r="41" spans="1:3" x14ac:dyDescent="0.3">
      <c r="A41" t="s">
        <v>65</v>
      </c>
      <c r="B41">
        <v>2019</v>
      </c>
      <c r="C41">
        <v>1918825.0060000001</v>
      </c>
    </row>
    <row r="42" spans="1:3" x14ac:dyDescent="0.3">
      <c r="A42" t="s">
        <v>65</v>
      </c>
      <c r="B42">
        <v>2020</v>
      </c>
      <c r="C42">
        <v>1743165.6229999999</v>
      </c>
    </row>
    <row r="43" spans="1:3" x14ac:dyDescent="0.3">
      <c r="A43" t="s">
        <v>65</v>
      </c>
      <c r="B43">
        <v>2021</v>
      </c>
      <c r="C43">
        <v>1865875.274</v>
      </c>
    </row>
    <row r="44" spans="1:3" x14ac:dyDescent="0.3">
      <c r="A44" t="s">
        <v>65</v>
      </c>
      <c r="B44">
        <v>2022</v>
      </c>
      <c r="C44">
        <v>1928658.429</v>
      </c>
    </row>
    <row r="45" spans="1:3" x14ac:dyDescent="0.3">
      <c r="A45" t="s">
        <v>65</v>
      </c>
      <c r="B45">
        <v>2023</v>
      </c>
      <c r="C45">
        <v>1991519.7</v>
      </c>
    </row>
    <row r="46" spans="1:3" x14ac:dyDescent="0.3">
      <c r="A46" t="s">
        <v>65</v>
      </c>
      <c r="B46">
        <v>2024</v>
      </c>
      <c r="C46">
        <v>2059995.5649999999</v>
      </c>
    </row>
    <row r="47" spans="1:3" x14ac:dyDescent="0.3">
      <c r="A47" t="s">
        <v>66</v>
      </c>
      <c r="B47">
        <v>1980</v>
      </c>
      <c r="C47">
        <v>6737.2730000000001</v>
      </c>
    </row>
    <row r="48" spans="1:3" x14ac:dyDescent="0.3">
      <c r="A48" t="s">
        <v>66</v>
      </c>
      <c r="B48">
        <v>1981</v>
      </c>
      <c r="C48">
        <v>7256.2169999999996</v>
      </c>
    </row>
    <row r="49" spans="1:3" x14ac:dyDescent="0.3">
      <c r="A49" t="s">
        <v>66</v>
      </c>
      <c r="B49">
        <v>1982</v>
      </c>
      <c r="C49">
        <v>7216.241</v>
      </c>
    </row>
    <row r="50" spans="1:3" x14ac:dyDescent="0.3">
      <c r="A50" t="s">
        <v>66</v>
      </c>
      <c r="B50">
        <v>1983</v>
      </c>
      <c r="C50">
        <v>7399.2569999999996</v>
      </c>
    </row>
    <row r="51" spans="1:3" x14ac:dyDescent="0.3">
      <c r="A51" t="s">
        <v>66</v>
      </c>
      <c r="B51">
        <v>1984</v>
      </c>
      <c r="C51">
        <v>7570.3059999999996</v>
      </c>
    </row>
    <row r="52" spans="1:3" x14ac:dyDescent="0.3">
      <c r="A52" t="s">
        <v>66</v>
      </c>
      <c r="B52">
        <v>1985</v>
      </c>
      <c r="C52">
        <v>7830.1350000000002</v>
      </c>
    </row>
    <row r="53" spans="1:3" x14ac:dyDescent="0.3">
      <c r="A53" t="s">
        <v>66</v>
      </c>
      <c r="B53">
        <v>1986</v>
      </c>
      <c r="C53">
        <v>7861.701</v>
      </c>
    </row>
    <row r="54" spans="1:3" x14ac:dyDescent="0.3">
      <c r="A54" t="s">
        <v>66</v>
      </c>
      <c r="B54">
        <v>1987</v>
      </c>
      <c r="C54">
        <v>8031.5050000000001</v>
      </c>
    </row>
    <row r="55" spans="1:3" x14ac:dyDescent="0.3">
      <c r="A55" t="s">
        <v>66</v>
      </c>
      <c r="B55">
        <v>1988</v>
      </c>
      <c r="C55">
        <v>7983.1270000000004</v>
      </c>
    </row>
    <row r="56" spans="1:3" x14ac:dyDescent="0.3">
      <c r="A56" t="s">
        <v>66</v>
      </c>
      <c r="B56">
        <v>1989</v>
      </c>
      <c r="C56">
        <v>8056.6639999999998</v>
      </c>
    </row>
    <row r="57" spans="1:3" x14ac:dyDescent="0.3">
      <c r="A57" t="s">
        <v>66</v>
      </c>
      <c r="B57">
        <v>1990</v>
      </c>
      <c r="C57">
        <v>8489.5630000000001</v>
      </c>
    </row>
    <row r="58" spans="1:3" x14ac:dyDescent="0.3">
      <c r="A58" t="s">
        <v>66</v>
      </c>
      <c r="B58">
        <v>1991</v>
      </c>
      <c r="C58">
        <v>8691.0740000000005</v>
      </c>
    </row>
    <row r="59" spans="1:3" x14ac:dyDescent="0.3">
      <c r="A59" t="s">
        <v>66</v>
      </c>
      <c r="B59">
        <v>1992</v>
      </c>
      <c r="C59">
        <v>8504.8240000000005</v>
      </c>
    </row>
    <row r="60" spans="1:3" x14ac:dyDescent="0.3">
      <c r="A60" t="s">
        <v>66</v>
      </c>
      <c r="B60">
        <v>1993</v>
      </c>
      <c r="C60">
        <v>7731.3440000000001</v>
      </c>
    </row>
    <row r="61" spans="1:3" x14ac:dyDescent="0.3">
      <c r="A61" t="s">
        <v>66</v>
      </c>
      <c r="B61">
        <v>1994</v>
      </c>
      <c r="C61">
        <v>9343.1769999999997</v>
      </c>
    </row>
    <row r="62" spans="1:3" x14ac:dyDescent="0.3">
      <c r="A62" t="s">
        <v>66</v>
      </c>
      <c r="B62">
        <v>1995</v>
      </c>
      <c r="C62">
        <v>10254.858</v>
      </c>
    </row>
    <row r="63" spans="1:3" x14ac:dyDescent="0.3">
      <c r="A63" t="s">
        <v>66</v>
      </c>
      <c r="B63">
        <v>1996</v>
      </c>
      <c r="C63">
        <v>10527.741</v>
      </c>
    </row>
    <row r="64" spans="1:3" x14ac:dyDescent="0.3">
      <c r="A64" t="s">
        <v>66</v>
      </c>
      <c r="B64">
        <v>1997</v>
      </c>
      <c r="C64">
        <v>10040.763000000001</v>
      </c>
    </row>
    <row r="65" spans="1:3" x14ac:dyDescent="0.3">
      <c r="A65" t="s">
        <v>66</v>
      </c>
      <c r="B65">
        <v>1998</v>
      </c>
      <c r="C65">
        <v>11577.028</v>
      </c>
    </row>
    <row r="66" spans="1:3" x14ac:dyDescent="0.3">
      <c r="A66" t="s">
        <v>66</v>
      </c>
      <c r="B66">
        <v>1999</v>
      </c>
      <c r="C66">
        <v>9889.4259999999995</v>
      </c>
    </row>
    <row r="67" spans="1:3" x14ac:dyDescent="0.3">
      <c r="A67" t="s">
        <v>66</v>
      </c>
      <c r="B67">
        <v>2000</v>
      </c>
      <c r="C67">
        <v>9237.6759999999995</v>
      </c>
    </row>
    <row r="68" spans="1:3" x14ac:dyDescent="0.3">
      <c r="A68" t="s">
        <v>66</v>
      </c>
      <c r="B68">
        <v>2001</v>
      </c>
      <c r="C68">
        <v>10663.269</v>
      </c>
    </row>
    <row r="69" spans="1:3" x14ac:dyDescent="0.3">
      <c r="A69" t="s">
        <v>66</v>
      </c>
      <c r="B69">
        <v>2002</v>
      </c>
      <c r="C69">
        <v>11199.993</v>
      </c>
    </row>
    <row r="70" spans="1:3" x14ac:dyDescent="0.3">
      <c r="A70" t="s">
        <v>66</v>
      </c>
      <c r="B70">
        <v>2003</v>
      </c>
      <c r="C70">
        <v>11260.127</v>
      </c>
    </row>
    <row r="71" spans="1:3" x14ac:dyDescent="0.3">
      <c r="A71" t="s">
        <v>66</v>
      </c>
      <c r="B71">
        <v>2004</v>
      </c>
      <c r="C71">
        <v>10348.764999999999</v>
      </c>
    </row>
    <row r="72" spans="1:3" x14ac:dyDescent="0.3">
      <c r="A72" t="s">
        <v>66</v>
      </c>
      <c r="B72">
        <v>2005</v>
      </c>
      <c r="C72">
        <v>9649.5329999999994</v>
      </c>
    </row>
    <row r="73" spans="1:3" x14ac:dyDescent="0.3">
      <c r="A73" t="s">
        <v>66</v>
      </c>
      <c r="B73">
        <v>2006</v>
      </c>
      <c r="C73">
        <v>9426.8179999999993</v>
      </c>
    </row>
    <row r="74" spans="1:3" x14ac:dyDescent="0.3">
      <c r="A74" t="s">
        <v>66</v>
      </c>
      <c r="B74">
        <v>2007</v>
      </c>
      <c r="C74">
        <v>10348.043</v>
      </c>
    </row>
    <row r="75" spans="1:3" x14ac:dyDescent="0.3">
      <c r="A75" t="s">
        <v>66</v>
      </c>
      <c r="B75">
        <v>2008</v>
      </c>
      <c r="C75">
        <v>9707.6460000000006</v>
      </c>
    </row>
    <row r="76" spans="1:3" x14ac:dyDescent="0.3">
      <c r="A76" t="s">
        <v>66</v>
      </c>
      <c r="B76">
        <v>2009</v>
      </c>
      <c r="C76">
        <v>10150.258</v>
      </c>
    </row>
    <row r="77" spans="1:3" x14ac:dyDescent="0.3">
      <c r="A77" t="s">
        <v>66</v>
      </c>
      <c r="B77">
        <v>2010</v>
      </c>
      <c r="C77">
        <v>10616.776</v>
      </c>
    </row>
    <row r="78" spans="1:3" x14ac:dyDescent="0.3">
      <c r="A78" t="s">
        <v>66</v>
      </c>
      <c r="B78">
        <v>2011</v>
      </c>
      <c r="C78">
        <v>9489.0930000000008</v>
      </c>
    </row>
    <row r="79" spans="1:3" x14ac:dyDescent="0.3">
      <c r="A79" t="s">
        <v>66</v>
      </c>
      <c r="B79">
        <v>2012</v>
      </c>
      <c r="C79">
        <v>9890.6149999999998</v>
      </c>
    </row>
    <row r="80" spans="1:3" x14ac:dyDescent="0.3">
      <c r="A80" t="s">
        <v>66</v>
      </c>
      <c r="B80">
        <v>2013</v>
      </c>
      <c r="C80">
        <v>9741.9639999999999</v>
      </c>
    </row>
    <row r="81" spans="1:3" x14ac:dyDescent="0.3">
      <c r="A81" t="s">
        <v>66</v>
      </c>
      <c r="B81">
        <v>2014</v>
      </c>
      <c r="C81">
        <v>9918.2970000000005</v>
      </c>
    </row>
    <row r="82" spans="1:3" x14ac:dyDescent="0.3">
      <c r="A82" t="s">
        <v>66</v>
      </c>
      <c r="B82">
        <v>2015</v>
      </c>
      <c r="C82">
        <v>9215.7270000000008</v>
      </c>
    </row>
    <row r="83" spans="1:3" x14ac:dyDescent="0.3">
      <c r="A83" t="s">
        <v>66</v>
      </c>
      <c r="B83">
        <v>2016</v>
      </c>
      <c r="C83">
        <v>8444.3469999999998</v>
      </c>
    </row>
    <row r="84" spans="1:3" x14ac:dyDescent="0.3">
      <c r="A84" t="s">
        <v>66</v>
      </c>
      <c r="B84">
        <v>2017</v>
      </c>
      <c r="C84">
        <v>8499.7420000000002</v>
      </c>
    </row>
    <row r="85" spans="1:3" x14ac:dyDescent="0.3">
      <c r="A85" t="s">
        <v>66</v>
      </c>
      <c r="B85">
        <v>2018</v>
      </c>
      <c r="C85">
        <v>8533.4869999999992</v>
      </c>
    </row>
    <row r="86" spans="1:3" x14ac:dyDescent="0.3">
      <c r="A86" t="s">
        <v>66</v>
      </c>
      <c r="B86">
        <v>2019</v>
      </c>
      <c r="C86">
        <v>9383.7450000000008</v>
      </c>
    </row>
    <row r="87" spans="1:3" x14ac:dyDescent="0.3">
      <c r="A87" t="s">
        <v>66</v>
      </c>
      <c r="B87">
        <v>2020</v>
      </c>
      <c r="C87">
        <v>9321.4390000000003</v>
      </c>
    </row>
    <row r="88" spans="1:3" x14ac:dyDescent="0.3">
      <c r="A88" t="s">
        <v>66</v>
      </c>
      <c r="B88">
        <v>2021</v>
      </c>
      <c r="C88">
        <v>9069.9770000000008</v>
      </c>
    </row>
    <row r="89" spans="1:3" x14ac:dyDescent="0.3">
      <c r="A89" t="s">
        <v>66</v>
      </c>
      <c r="B89">
        <v>2022</v>
      </c>
      <c r="C89">
        <v>9313.7250000000004</v>
      </c>
    </row>
    <row r="90" spans="1:3" x14ac:dyDescent="0.3">
      <c r="A90" t="s">
        <v>66</v>
      </c>
      <c r="B90">
        <v>2023</v>
      </c>
      <c r="C90">
        <v>9312.4320000000007</v>
      </c>
    </row>
    <row r="91" spans="1:3" x14ac:dyDescent="0.3">
      <c r="A91" t="s">
        <v>66</v>
      </c>
      <c r="B91">
        <v>2024</v>
      </c>
      <c r="C91">
        <v>9516.2569999999996</v>
      </c>
    </row>
    <row r="92" spans="1:3" x14ac:dyDescent="0.3">
      <c r="A92" t="s">
        <v>67</v>
      </c>
      <c r="B92">
        <v>1980</v>
      </c>
      <c r="C92">
        <v>286474.84399999998</v>
      </c>
    </row>
    <row r="93" spans="1:3" x14ac:dyDescent="0.3">
      <c r="A93" t="s">
        <v>67</v>
      </c>
      <c r="B93">
        <v>1981</v>
      </c>
      <c r="C93">
        <v>322099.06300000002</v>
      </c>
    </row>
    <row r="94" spans="1:3" x14ac:dyDescent="0.3">
      <c r="A94" t="s">
        <v>67</v>
      </c>
      <c r="B94">
        <v>1982</v>
      </c>
      <c r="C94">
        <v>319824.77399999998</v>
      </c>
    </row>
    <row r="95" spans="1:3" x14ac:dyDescent="0.3">
      <c r="A95" t="s">
        <v>67</v>
      </c>
      <c r="B95">
        <v>1983</v>
      </c>
      <c r="C95">
        <v>287662.35200000001</v>
      </c>
    </row>
    <row r="96" spans="1:3" x14ac:dyDescent="0.3">
      <c r="A96" t="s">
        <v>67</v>
      </c>
      <c r="B96">
        <v>1984</v>
      </c>
      <c r="C96">
        <v>302700.83</v>
      </c>
    </row>
    <row r="97" spans="1:3" x14ac:dyDescent="0.3">
      <c r="A97" t="s">
        <v>67</v>
      </c>
      <c r="B97">
        <v>1985</v>
      </c>
      <c r="C97">
        <v>315268.11</v>
      </c>
    </row>
    <row r="98" spans="1:3" x14ac:dyDescent="0.3">
      <c r="A98" t="s">
        <v>67</v>
      </c>
      <c r="B98">
        <v>1986</v>
      </c>
      <c r="C98">
        <v>292335.99099999998</v>
      </c>
    </row>
    <row r="99" spans="1:3" x14ac:dyDescent="0.3">
      <c r="A99" t="s">
        <v>67</v>
      </c>
      <c r="B99">
        <v>1987</v>
      </c>
      <c r="C99">
        <v>302694.88</v>
      </c>
    </row>
    <row r="100" spans="1:3" x14ac:dyDescent="0.3">
      <c r="A100" t="s">
        <v>67</v>
      </c>
      <c r="B100">
        <v>1988</v>
      </c>
      <c r="C100">
        <v>306994.08799999999</v>
      </c>
    </row>
    <row r="101" spans="1:3" x14ac:dyDescent="0.3">
      <c r="A101" t="s">
        <v>67</v>
      </c>
      <c r="B101">
        <v>1989</v>
      </c>
      <c r="C101">
        <v>318175.71500000003</v>
      </c>
    </row>
    <row r="102" spans="1:3" x14ac:dyDescent="0.3">
      <c r="A102" t="s">
        <v>67</v>
      </c>
      <c r="B102">
        <v>1990</v>
      </c>
      <c r="C102">
        <v>338087.87099999998</v>
      </c>
    </row>
    <row r="103" spans="1:3" x14ac:dyDescent="0.3">
      <c r="A103" t="s">
        <v>67</v>
      </c>
      <c r="B103">
        <v>1991</v>
      </c>
      <c r="C103">
        <v>345936.12099999998</v>
      </c>
    </row>
    <row r="104" spans="1:3" x14ac:dyDescent="0.3">
      <c r="A104" t="s">
        <v>67</v>
      </c>
      <c r="B104">
        <v>1992</v>
      </c>
      <c r="C104">
        <v>358213.94300000003</v>
      </c>
    </row>
    <row r="105" spans="1:3" x14ac:dyDescent="0.3">
      <c r="A105" t="s">
        <v>67</v>
      </c>
      <c r="B105">
        <v>1993</v>
      </c>
      <c r="C105">
        <v>363057.56599999999</v>
      </c>
    </row>
    <row r="106" spans="1:3" x14ac:dyDescent="0.3">
      <c r="A106" t="s">
        <v>67</v>
      </c>
      <c r="B106">
        <v>1994</v>
      </c>
      <c r="C106">
        <v>380032.57299999997</v>
      </c>
    </row>
    <row r="107" spans="1:3" x14ac:dyDescent="0.3">
      <c r="A107" t="s">
        <v>67</v>
      </c>
      <c r="B107">
        <v>1995</v>
      </c>
      <c r="C107">
        <v>338469.16100000002</v>
      </c>
    </row>
    <row r="108" spans="1:3" x14ac:dyDescent="0.3">
      <c r="A108" t="s">
        <v>67</v>
      </c>
      <c r="B108">
        <v>1996</v>
      </c>
      <c r="C108">
        <v>378194.174</v>
      </c>
    </row>
    <row r="109" spans="1:3" x14ac:dyDescent="0.3">
      <c r="A109" t="s">
        <v>67</v>
      </c>
      <c r="B109">
        <v>1997</v>
      </c>
      <c r="C109">
        <v>423291.57299999997</v>
      </c>
    </row>
    <row r="110" spans="1:3" x14ac:dyDescent="0.3">
      <c r="A110" t="s">
        <v>67</v>
      </c>
      <c r="B110">
        <v>1998</v>
      </c>
      <c r="C110">
        <v>457468.80800000002</v>
      </c>
    </row>
    <row r="111" spans="1:3" x14ac:dyDescent="0.3">
      <c r="A111" t="s">
        <v>67</v>
      </c>
      <c r="B111">
        <v>1999</v>
      </c>
      <c r="C111">
        <v>484828.45600000001</v>
      </c>
    </row>
    <row r="112" spans="1:3" x14ac:dyDescent="0.3">
      <c r="A112" t="s">
        <v>67</v>
      </c>
      <c r="B112">
        <v>2000</v>
      </c>
      <c r="C112">
        <v>515900.74099999998</v>
      </c>
    </row>
    <row r="113" spans="1:3" x14ac:dyDescent="0.3">
      <c r="A113" t="s">
        <v>67</v>
      </c>
      <c r="B113">
        <v>2001</v>
      </c>
      <c r="C113">
        <v>512634.147</v>
      </c>
    </row>
    <row r="114" spans="1:3" x14ac:dyDescent="0.3">
      <c r="A114" t="s">
        <v>67</v>
      </c>
      <c r="B114">
        <v>2002</v>
      </c>
      <c r="C114">
        <v>515954.55699999997</v>
      </c>
    </row>
    <row r="115" spans="1:3" x14ac:dyDescent="0.3">
      <c r="A115" t="s">
        <v>67</v>
      </c>
      <c r="B115">
        <v>2003</v>
      </c>
      <c r="C115">
        <v>539396.93799999997</v>
      </c>
    </row>
    <row r="116" spans="1:3" x14ac:dyDescent="0.3">
      <c r="A116" t="s">
        <v>67</v>
      </c>
      <c r="B116">
        <v>2004</v>
      </c>
      <c r="C116">
        <v>552018.80299999996</v>
      </c>
    </row>
    <row r="117" spans="1:3" x14ac:dyDescent="0.3">
      <c r="A117" t="s">
        <v>67</v>
      </c>
      <c r="B117">
        <v>2005</v>
      </c>
      <c r="C117">
        <v>570810.48199999996</v>
      </c>
    </row>
    <row r="118" spans="1:3" x14ac:dyDescent="0.3">
      <c r="A118" t="s">
        <v>67</v>
      </c>
      <c r="B118">
        <v>2006</v>
      </c>
      <c r="C118">
        <v>619705.41</v>
      </c>
    </row>
    <row r="119" spans="1:3" x14ac:dyDescent="0.3">
      <c r="A119" t="s">
        <v>67</v>
      </c>
      <c r="B119">
        <v>2007</v>
      </c>
      <c r="C119">
        <v>640216.26500000001</v>
      </c>
    </row>
    <row r="120" spans="1:3" x14ac:dyDescent="0.3">
      <c r="A120" t="s">
        <v>67</v>
      </c>
      <c r="B120">
        <v>2008</v>
      </c>
      <c r="C120">
        <v>624890.54399999999</v>
      </c>
    </row>
    <row r="121" spans="1:3" x14ac:dyDescent="0.3">
      <c r="A121" t="s">
        <v>67</v>
      </c>
      <c r="B121">
        <v>2009</v>
      </c>
      <c r="C121">
        <v>577894.44700000004</v>
      </c>
    </row>
    <row r="122" spans="1:3" x14ac:dyDescent="0.3">
      <c r="A122" t="s">
        <v>67</v>
      </c>
      <c r="B122">
        <v>2010</v>
      </c>
      <c r="C122">
        <v>622242.12699999998</v>
      </c>
    </row>
    <row r="123" spans="1:3" x14ac:dyDescent="0.3">
      <c r="A123" t="s">
        <v>67</v>
      </c>
      <c r="B123">
        <v>2011</v>
      </c>
      <c r="C123">
        <v>636987.93799999997</v>
      </c>
    </row>
    <row r="124" spans="1:3" x14ac:dyDescent="0.3">
      <c r="A124" t="s">
        <v>67</v>
      </c>
      <c r="B124">
        <v>2012</v>
      </c>
      <c r="C124">
        <v>654371.15500000003</v>
      </c>
    </row>
    <row r="125" spans="1:3" x14ac:dyDescent="0.3">
      <c r="A125" t="s">
        <v>67</v>
      </c>
      <c r="B125">
        <v>2013</v>
      </c>
      <c r="C125">
        <v>638205.06299999997</v>
      </c>
    </row>
    <row r="126" spans="1:3" x14ac:dyDescent="0.3">
      <c r="A126" t="s">
        <v>67</v>
      </c>
      <c r="B126">
        <v>2014</v>
      </c>
      <c r="C126">
        <v>665679.40399999998</v>
      </c>
    </row>
    <row r="127" spans="1:3" x14ac:dyDescent="0.3">
      <c r="A127" t="s">
        <v>67</v>
      </c>
      <c r="B127">
        <v>2015</v>
      </c>
      <c r="C127">
        <v>688313.45200000005</v>
      </c>
    </row>
    <row r="128" spans="1:3" x14ac:dyDescent="0.3">
      <c r="A128" t="s">
        <v>67</v>
      </c>
      <c r="B128">
        <v>2016</v>
      </c>
      <c r="C128">
        <v>671980.701</v>
      </c>
    </row>
    <row r="129" spans="1:3" x14ac:dyDescent="0.3">
      <c r="A129" t="s">
        <v>67</v>
      </c>
      <c r="B129">
        <v>2017</v>
      </c>
      <c r="C129">
        <v>695124.41399999999</v>
      </c>
    </row>
    <row r="130" spans="1:3" x14ac:dyDescent="0.3">
      <c r="A130" t="s">
        <v>67</v>
      </c>
      <c r="B130">
        <v>2018</v>
      </c>
      <c r="C130">
        <v>761978.33499999996</v>
      </c>
    </row>
    <row r="131" spans="1:3" x14ac:dyDescent="0.3">
      <c r="A131" t="s">
        <v>67</v>
      </c>
      <c r="B131">
        <v>2019</v>
      </c>
      <c r="C131">
        <v>763827.49800000002</v>
      </c>
    </row>
    <row r="132" spans="1:3" x14ac:dyDescent="0.3">
      <c r="A132" t="s">
        <v>67</v>
      </c>
      <c r="B132">
        <v>2020</v>
      </c>
      <c r="C132">
        <v>676930.61699999997</v>
      </c>
    </row>
    <row r="133" spans="1:3" x14ac:dyDescent="0.3">
      <c r="A133" t="s">
        <v>67</v>
      </c>
      <c r="B133">
        <v>2021</v>
      </c>
      <c r="C133">
        <v>741059.84100000001</v>
      </c>
    </row>
    <row r="134" spans="1:3" x14ac:dyDescent="0.3">
      <c r="A134" t="s">
        <v>67</v>
      </c>
      <c r="B134">
        <v>2022</v>
      </c>
      <c r="C134">
        <v>768414.326</v>
      </c>
    </row>
    <row r="135" spans="1:3" x14ac:dyDescent="0.3">
      <c r="A135" t="s">
        <v>67</v>
      </c>
      <c r="B135">
        <v>2023</v>
      </c>
      <c r="C135">
        <v>790515.65899999999</v>
      </c>
    </row>
    <row r="136" spans="1:3" x14ac:dyDescent="0.3">
      <c r="A136" t="s">
        <v>67</v>
      </c>
      <c r="B136">
        <v>2024</v>
      </c>
      <c r="C136">
        <v>816347.27899999998</v>
      </c>
    </row>
    <row r="137" spans="1:3" x14ac:dyDescent="0.3">
      <c r="A137" t="s">
        <v>68</v>
      </c>
      <c r="B137">
        <v>1980</v>
      </c>
      <c r="C137">
        <v>281926.64299999998</v>
      </c>
    </row>
    <row r="138" spans="1:3" x14ac:dyDescent="0.3">
      <c r="A138" t="s">
        <v>68</v>
      </c>
      <c r="B138">
        <v>1981</v>
      </c>
      <c r="C138">
        <v>311450.658</v>
      </c>
    </row>
    <row r="139" spans="1:3" x14ac:dyDescent="0.3">
      <c r="A139" t="s">
        <v>68</v>
      </c>
      <c r="B139">
        <v>1982</v>
      </c>
      <c r="C139">
        <v>314879.5</v>
      </c>
    </row>
    <row r="140" spans="1:3" x14ac:dyDescent="0.3">
      <c r="A140" t="s">
        <v>68</v>
      </c>
      <c r="B140">
        <v>1983</v>
      </c>
      <c r="C140">
        <v>310780.56199999998</v>
      </c>
    </row>
    <row r="141" spans="1:3" x14ac:dyDescent="0.3">
      <c r="A141" t="s">
        <v>68</v>
      </c>
      <c r="B141">
        <v>1984</v>
      </c>
      <c r="C141">
        <v>322673.15899999999</v>
      </c>
    </row>
    <row r="142" spans="1:3" x14ac:dyDescent="0.3">
      <c r="A142" t="s">
        <v>68</v>
      </c>
      <c r="B142">
        <v>1985</v>
      </c>
      <c r="C142">
        <v>325995.94099999999</v>
      </c>
    </row>
    <row r="143" spans="1:3" x14ac:dyDescent="0.3">
      <c r="A143" t="s">
        <v>68</v>
      </c>
      <c r="B143">
        <v>1986</v>
      </c>
      <c r="C143">
        <v>318974.28999999998</v>
      </c>
    </row>
    <row r="144" spans="1:3" x14ac:dyDescent="0.3">
      <c r="A144" t="s">
        <v>68</v>
      </c>
      <c r="B144">
        <v>1987</v>
      </c>
      <c r="C144">
        <v>325004.62400000001</v>
      </c>
    </row>
    <row r="145" spans="1:3" x14ac:dyDescent="0.3">
      <c r="A145" t="s">
        <v>68</v>
      </c>
      <c r="B145">
        <v>1988</v>
      </c>
      <c r="C145">
        <v>331353.78399999999</v>
      </c>
    </row>
    <row r="146" spans="1:3" x14ac:dyDescent="0.3">
      <c r="A146" t="s">
        <v>68</v>
      </c>
      <c r="B146">
        <v>1989</v>
      </c>
      <c r="C146">
        <v>348540.13099999999</v>
      </c>
    </row>
    <row r="147" spans="1:3" x14ac:dyDescent="0.3">
      <c r="A147" t="s">
        <v>68</v>
      </c>
      <c r="B147">
        <v>1990</v>
      </c>
      <c r="C147">
        <v>369372.63400000002</v>
      </c>
    </row>
    <row r="148" spans="1:3" x14ac:dyDescent="0.3">
      <c r="A148" t="s">
        <v>68</v>
      </c>
      <c r="B148">
        <v>1991</v>
      </c>
      <c r="C148">
        <v>393535.109</v>
      </c>
    </row>
    <row r="149" spans="1:3" x14ac:dyDescent="0.3">
      <c r="A149" t="s">
        <v>68</v>
      </c>
      <c r="B149">
        <v>1992</v>
      </c>
      <c r="C149">
        <v>413544.761</v>
      </c>
    </row>
    <row r="150" spans="1:3" x14ac:dyDescent="0.3">
      <c r="A150" t="s">
        <v>68</v>
      </c>
      <c r="B150">
        <v>1993</v>
      </c>
      <c r="C150">
        <v>439273.04300000001</v>
      </c>
    </row>
    <row r="151" spans="1:3" x14ac:dyDescent="0.3">
      <c r="A151" t="s">
        <v>68</v>
      </c>
      <c r="B151">
        <v>1994</v>
      </c>
      <c r="C151">
        <v>462188.48</v>
      </c>
    </row>
    <row r="152" spans="1:3" x14ac:dyDescent="0.3">
      <c r="A152" t="s">
        <v>68</v>
      </c>
      <c r="B152">
        <v>1995</v>
      </c>
      <c r="C152">
        <v>444955.22399999999</v>
      </c>
    </row>
    <row r="153" spans="1:3" x14ac:dyDescent="0.3">
      <c r="A153" t="s">
        <v>68</v>
      </c>
      <c r="B153">
        <v>1996</v>
      </c>
      <c r="C153">
        <v>455644.74900000001</v>
      </c>
    </row>
    <row r="154" spans="1:3" x14ac:dyDescent="0.3">
      <c r="A154" t="s">
        <v>68</v>
      </c>
      <c r="B154">
        <v>1997</v>
      </c>
      <c r="C154">
        <v>491199.75599999999</v>
      </c>
    </row>
    <row r="155" spans="1:3" x14ac:dyDescent="0.3">
      <c r="A155" t="s">
        <v>68</v>
      </c>
      <c r="B155">
        <v>1998</v>
      </c>
      <c r="C155">
        <v>533062.58600000001</v>
      </c>
    </row>
    <row r="156" spans="1:3" x14ac:dyDescent="0.3">
      <c r="A156" t="s">
        <v>68</v>
      </c>
      <c r="B156">
        <v>1999</v>
      </c>
      <c r="C156">
        <v>563174.15700000001</v>
      </c>
    </row>
    <row r="157" spans="1:3" x14ac:dyDescent="0.3">
      <c r="A157" t="s">
        <v>68</v>
      </c>
      <c r="B157">
        <v>2000</v>
      </c>
      <c r="C157">
        <v>603852.43299999996</v>
      </c>
    </row>
    <row r="158" spans="1:3" x14ac:dyDescent="0.3">
      <c r="A158" t="s">
        <v>68</v>
      </c>
      <c r="B158">
        <v>2001</v>
      </c>
      <c r="C158">
        <v>601438.47499999998</v>
      </c>
    </row>
    <row r="159" spans="1:3" x14ac:dyDescent="0.3">
      <c r="A159" t="s">
        <v>68</v>
      </c>
      <c r="B159">
        <v>2002</v>
      </c>
      <c r="C159">
        <v>619974.11499999999</v>
      </c>
    </row>
    <row r="160" spans="1:3" x14ac:dyDescent="0.3">
      <c r="A160" t="s">
        <v>68</v>
      </c>
      <c r="B160">
        <v>2003</v>
      </c>
      <c r="C160">
        <v>641929.87399999995</v>
      </c>
    </row>
    <row r="161" spans="1:3" x14ac:dyDescent="0.3">
      <c r="A161" t="s">
        <v>68</v>
      </c>
      <c r="B161">
        <v>2004</v>
      </c>
      <c r="C161">
        <v>673398.43900000001</v>
      </c>
    </row>
    <row r="162" spans="1:3" x14ac:dyDescent="0.3">
      <c r="A162" t="s">
        <v>68</v>
      </c>
      <c r="B162">
        <v>2005</v>
      </c>
      <c r="C162">
        <v>689158.33600000001</v>
      </c>
    </row>
    <row r="163" spans="1:3" x14ac:dyDescent="0.3">
      <c r="A163" t="s">
        <v>68</v>
      </c>
      <c r="B163">
        <v>2006</v>
      </c>
      <c r="C163">
        <v>734675.51100000006</v>
      </c>
    </row>
    <row r="164" spans="1:3" x14ac:dyDescent="0.3">
      <c r="A164" t="s">
        <v>68</v>
      </c>
      <c r="B164">
        <v>2007</v>
      </c>
      <c r="C164">
        <v>774916.31400000001</v>
      </c>
    </row>
    <row r="165" spans="1:3" x14ac:dyDescent="0.3">
      <c r="A165" t="s">
        <v>68</v>
      </c>
      <c r="B165">
        <v>2008</v>
      </c>
      <c r="C165">
        <v>787839.24600000004</v>
      </c>
    </row>
    <row r="166" spans="1:3" x14ac:dyDescent="0.3">
      <c r="A166" t="s">
        <v>68</v>
      </c>
      <c r="B166">
        <v>2009</v>
      </c>
      <c r="C166">
        <v>727138.51699999999</v>
      </c>
    </row>
    <row r="167" spans="1:3" x14ac:dyDescent="0.3">
      <c r="A167" t="s">
        <v>68</v>
      </c>
      <c r="B167">
        <v>2010</v>
      </c>
      <c r="C167">
        <v>779644.05900000001</v>
      </c>
    </row>
    <row r="168" spans="1:3" x14ac:dyDescent="0.3">
      <c r="A168" t="s">
        <v>68</v>
      </c>
      <c r="B168">
        <v>2011</v>
      </c>
      <c r="C168">
        <v>816593.66700000002</v>
      </c>
    </row>
    <row r="169" spans="1:3" x14ac:dyDescent="0.3">
      <c r="A169" t="s">
        <v>68</v>
      </c>
      <c r="B169">
        <v>2012</v>
      </c>
      <c r="C169">
        <v>862375.65300000005</v>
      </c>
    </row>
    <row r="170" spans="1:3" x14ac:dyDescent="0.3">
      <c r="A170" t="s">
        <v>68</v>
      </c>
      <c r="B170">
        <v>2013</v>
      </c>
      <c r="C170">
        <v>870862.06599999999</v>
      </c>
    </row>
    <row r="171" spans="1:3" x14ac:dyDescent="0.3">
      <c r="A171" t="s">
        <v>68</v>
      </c>
      <c r="B171">
        <v>2014</v>
      </c>
      <c r="C171">
        <v>895164.52500000002</v>
      </c>
    </row>
    <row r="172" spans="1:3" x14ac:dyDescent="0.3">
      <c r="A172" t="s">
        <v>68</v>
      </c>
      <c r="B172">
        <v>2015</v>
      </c>
      <c r="C172">
        <v>926942.79700000002</v>
      </c>
    </row>
    <row r="173" spans="1:3" x14ac:dyDescent="0.3">
      <c r="A173" t="s">
        <v>68</v>
      </c>
      <c r="B173">
        <v>2016</v>
      </c>
      <c r="C173">
        <v>955092.53599999996</v>
      </c>
    </row>
    <row r="174" spans="1:3" x14ac:dyDescent="0.3">
      <c r="A174" t="s">
        <v>68</v>
      </c>
      <c r="B174">
        <v>2017</v>
      </c>
      <c r="C174">
        <v>993606.34400000004</v>
      </c>
    </row>
    <row r="175" spans="1:3" x14ac:dyDescent="0.3">
      <c r="A175" t="s">
        <v>68</v>
      </c>
      <c r="B175">
        <v>2018</v>
      </c>
      <c r="C175">
        <v>1018194.789</v>
      </c>
    </row>
    <row r="176" spans="1:3" x14ac:dyDescent="0.3">
      <c r="A176" t="s">
        <v>68</v>
      </c>
      <c r="B176">
        <v>2019</v>
      </c>
      <c r="C176">
        <v>1023769.023</v>
      </c>
    </row>
    <row r="177" spans="1:3" x14ac:dyDescent="0.3">
      <c r="A177" t="s">
        <v>68</v>
      </c>
      <c r="B177">
        <v>2020</v>
      </c>
      <c r="C177">
        <v>953891.26500000001</v>
      </c>
    </row>
    <row r="178" spans="1:3" x14ac:dyDescent="0.3">
      <c r="A178" t="s">
        <v>68</v>
      </c>
      <c r="B178">
        <v>2021</v>
      </c>
      <c r="C178">
        <v>1000821.346</v>
      </c>
    </row>
    <row r="179" spans="1:3" x14ac:dyDescent="0.3">
      <c r="A179" t="s">
        <v>68</v>
      </c>
      <c r="B179">
        <v>2022</v>
      </c>
      <c r="C179">
        <v>1029071.326</v>
      </c>
    </row>
    <row r="180" spans="1:3" x14ac:dyDescent="0.3">
      <c r="A180" t="s">
        <v>68</v>
      </c>
      <c r="B180">
        <v>2023</v>
      </c>
      <c r="C180">
        <v>1065940.3259999999</v>
      </c>
    </row>
    <row r="181" spans="1:3" x14ac:dyDescent="0.3">
      <c r="A181" t="s">
        <v>68</v>
      </c>
      <c r="B181">
        <v>2024</v>
      </c>
      <c r="C181">
        <v>1103970.5090000001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2F3D-F5AC-400B-9D9D-E371C2229A67}">
  <dimension ref="A1:E46"/>
  <sheetViews>
    <sheetView workbookViewId="0">
      <selection activeCell="D1" sqref="A1:D46"/>
    </sheetView>
  </sheetViews>
  <sheetFormatPr baseColWidth="10" defaultColWidth="8.88671875" defaultRowHeight="14.4" x14ac:dyDescent="0.3"/>
  <cols>
    <col min="1" max="1" width="8.88671875" style="11"/>
    <col min="2" max="2" width="23.6640625" customWidth="1"/>
    <col min="3" max="3" width="22.88671875" customWidth="1"/>
    <col min="4" max="4" width="20.33203125" customWidth="1"/>
    <col min="5" max="5" width="19.5546875" style="21" customWidth="1"/>
  </cols>
  <sheetData>
    <row r="1" spans="1:5" x14ac:dyDescent="0.3">
      <c r="A1" s="11" t="s">
        <v>5</v>
      </c>
      <c r="B1" t="s">
        <v>13</v>
      </c>
      <c r="C1" t="s">
        <v>14</v>
      </c>
      <c r="D1" t="s">
        <v>15</v>
      </c>
      <c r="E1" s="21" t="s">
        <v>72</v>
      </c>
    </row>
    <row r="2" spans="1:5" x14ac:dyDescent="0.3">
      <c r="A2" s="11">
        <v>1980</v>
      </c>
      <c r="B2" s="10">
        <f>pib_niveles!B2 / pib_niveles!$E2</f>
        <v>1.090189360014711E-2</v>
      </c>
      <c r="C2" s="10">
        <f>pib_niveles!C2 / pib_niveles!$E2</f>
        <v>0.46355821834839428</v>
      </c>
      <c r="D2" s="10">
        <f>pib_niveles!D2 / pib_niveles!$E2</f>
        <v>0.45619856357797267</v>
      </c>
      <c r="E2" s="21">
        <f>D2/C2</f>
        <v>0.984123558856009</v>
      </c>
    </row>
    <row r="3" spans="1:5" x14ac:dyDescent="0.3">
      <c r="A3" s="11">
        <v>1981</v>
      </c>
      <c r="B3" s="10">
        <f>pib_niveles!B3 / pib_niveles!$E3</f>
        <v>1.0538387547961535E-2</v>
      </c>
      <c r="C3" s="10">
        <f>pib_niveles!C3 / pib_niveles!$E3</f>
        <v>0.46779261903678993</v>
      </c>
      <c r="D3" s="10">
        <f>pib_niveles!D3 / pib_niveles!$E3</f>
        <v>0.45232767102632504</v>
      </c>
      <c r="E3" s="21">
        <f t="shared" ref="E3:E46" si="0">D3/C3</f>
        <v>0.96694058995135912</v>
      </c>
    </row>
    <row r="4" spans="1:5" x14ac:dyDescent="0.3">
      <c r="A4" s="11">
        <v>1982</v>
      </c>
      <c r="B4" s="10">
        <f>pib_niveles!B4 / pib_niveles!$E4</f>
        <v>1.046213220563047E-2</v>
      </c>
      <c r="C4" s="10">
        <f>pib_niveles!C4 / pib_niveles!$E4</f>
        <v>0.46368310983847216</v>
      </c>
      <c r="D4" s="10">
        <f>pib_niveles!D4 / pib_niveles!$E4</f>
        <v>0.45651343377290471</v>
      </c>
      <c r="E4" s="21">
        <f t="shared" si="0"/>
        <v>0.9845375518032885</v>
      </c>
    </row>
    <row r="5" spans="1:5" x14ac:dyDescent="0.3">
      <c r="A5" s="11">
        <v>1983</v>
      </c>
      <c r="B5" s="10">
        <f>pib_niveles!B5 / pib_niveles!$E5</f>
        <v>1.1366298128492568E-2</v>
      </c>
      <c r="C5" s="10">
        <f>pib_niveles!C5 / pib_niveles!$E5</f>
        <v>0.44188978071384333</v>
      </c>
      <c r="D5" s="10">
        <f>pib_niveles!D5 / pib_niveles!$E5</f>
        <v>0.47740259869774332</v>
      </c>
      <c r="E5" s="21">
        <f t="shared" si="0"/>
        <v>1.0803657824503916</v>
      </c>
    </row>
    <row r="6" spans="1:5" x14ac:dyDescent="0.3">
      <c r="A6" s="11">
        <v>1984</v>
      </c>
      <c r="B6" s="10">
        <f>pib_niveles!B6 / pib_niveles!$E6</f>
        <v>1.1131107493443187E-2</v>
      </c>
      <c r="C6" s="10">
        <f>pib_niveles!C6 / pib_niveles!$E6</f>
        <v>0.44508048645384646</v>
      </c>
      <c r="D6" s="10">
        <f>pib_niveles!D6 / pib_niveles!$E6</f>
        <v>0.47444708550458659</v>
      </c>
      <c r="E6" s="21">
        <f t="shared" si="0"/>
        <v>1.0659804236413886</v>
      </c>
    </row>
    <row r="7" spans="1:5" x14ac:dyDescent="0.3">
      <c r="A7" s="11">
        <v>1985</v>
      </c>
      <c r="B7" s="10">
        <f>pib_niveles!B7 / pib_niveles!$E7</f>
        <v>1.1226695974672322E-2</v>
      </c>
      <c r="C7" s="10">
        <f>pib_niveles!C7 / pib_niveles!$E7</f>
        <v>0.4520253126516402</v>
      </c>
      <c r="D7" s="10">
        <f>pib_niveles!D7 / pib_niveles!$E7</f>
        <v>0.46740666905285999</v>
      </c>
      <c r="E7" s="21">
        <f t="shared" si="0"/>
        <v>1.0340276439631018</v>
      </c>
    </row>
    <row r="8" spans="1:5" x14ac:dyDescent="0.3">
      <c r="A8" s="11">
        <v>1986</v>
      </c>
      <c r="B8" s="10">
        <f>pib_niveles!B8 / pib_niveles!$E8</f>
        <v>1.1816685005295098E-2</v>
      </c>
      <c r="C8" s="10">
        <f>pib_niveles!C8 / pib_niveles!$E8</f>
        <v>0.43940138671742696</v>
      </c>
      <c r="D8" s="10">
        <f>pib_niveles!D8 / pib_niveles!$E8</f>
        <v>0.47944060830062729</v>
      </c>
      <c r="E8" s="21">
        <f t="shared" si="0"/>
        <v>1.0911222012345378</v>
      </c>
    </row>
    <row r="9" spans="1:5" x14ac:dyDescent="0.3">
      <c r="A9" s="11">
        <v>1987</v>
      </c>
      <c r="B9" s="10">
        <f>pib_niveles!B9 / pib_niveles!$E9</f>
        <v>1.1757472486521404E-2</v>
      </c>
      <c r="C9" s="10">
        <f>pib_niveles!C9 / pib_niveles!$E9</f>
        <v>0.44312077542265094</v>
      </c>
      <c r="D9" s="10">
        <f>pib_niveles!D9 / pib_niveles!$E9</f>
        <v>0.4757804327672378</v>
      </c>
      <c r="E9" s="21">
        <f t="shared" si="0"/>
        <v>1.073703737572304</v>
      </c>
    </row>
    <row r="10" spans="1:5" x14ac:dyDescent="0.3">
      <c r="A10" s="11">
        <v>1988</v>
      </c>
      <c r="B10" s="10">
        <f>pib_niveles!B10 / pib_niveles!$E10</f>
        <v>1.1494987012671204E-2</v>
      </c>
      <c r="C10" s="10">
        <f>pib_niveles!C10 / pib_niveles!$E10</f>
        <v>0.44204395777830424</v>
      </c>
      <c r="D10" s="10">
        <f>pib_niveles!D10 / pib_niveles!$E10</f>
        <v>0.47711973562232685</v>
      </c>
      <c r="E10" s="21">
        <f t="shared" si="0"/>
        <v>1.0793490720251264</v>
      </c>
    </row>
    <row r="11" spans="1:5" x14ac:dyDescent="0.3">
      <c r="A11" s="11">
        <v>1989</v>
      </c>
      <c r="B11" s="10">
        <f>pib_niveles!B11 / pib_niveles!$E11</f>
        <v>1.1111899457039909E-2</v>
      </c>
      <c r="C11" s="10">
        <f>pib_niveles!C11 / pib_niveles!$E11</f>
        <v>0.43883380947148659</v>
      </c>
      <c r="D11" s="10">
        <f>pib_niveles!D11 / pib_niveles!$E11</f>
        <v>0.48071297157427922</v>
      </c>
      <c r="E11" s="21">
        <f t="shared" si="0"/>
        <v>1.0954328522527246</v>
      </c>
    </row>
    <row r="12" spans="1:5" x14ac:dyDescent="0.3">
      <c r="A12" s="11">
        <v>1990</v>
      </c>
      <c r="B12" s="10">
        <f>pib_niveles!B12 / pib_niveles!$E12</f>
        <v>1.1035525870083435E-2</v>
      </c>
      <c r="C12" s="10">
        <f>pib_niveles!C12 / pib_niveles!$E12</f>
        <v>0.43947815061646056</v>
      </c>
      <c r="D12" s="10">
        <f>pib_niveles!D12 / pib_niveles!$E12</f>
        <v>0.48014500371902069</v>
      </c>
      <c r="E12" s="21">
        <f t="shared" si="0"/>
        <v>1.0925344139305135</v>
      </c>
    </row>
    <row r="13" spans="1:5" x14ac:dyDescent="0.3">
      <c r="A13" s="11">
        <v>1991</v>
      </c>
      <c r="B13" s="10">
        <f>pib_niveles!B13 / pib_niveles!$E13</f>
        <v>1.0811054539656311E-2</v>
      </c>
      <c r="C13" s="10">
        <f>pib_niveles!C13 / pib_niveles!$E13</f>
        <v>0.43031899985757166</v>
      </c>
      <c r="D13" s="10">
        <f>pib_niveles!D13 / pib_niveles!$E13</f>
        <v>0.4895286274939773</v>
      </c>
      <c r="E13" s="21">
        <f t="shared" si="0"/>
        <v>1.1375947324101492</v>
      </c>
    </row>
    <row r="14" spans="1:5" x14ac:dyDescent="0.3">
      <c r="A14" s="11">
        <v>1992</v>
      </c>
      <c r="B14" s="10">
        <f>pib_niveles!B14 / pib_niveles!$E14</f>
        <v>1.0144121839347668E-2</v>
      </c>
      <c r="C14" s="10">
        <f>pib_niveles!C14 / pib_niveles!$E14</f>
        <v>0.4272593862430476</v>
      </c>
      <c r="D14" s="10">
        <f>pib_niveles!D14 / pib_niveles!$E14</f>
        <v>0.49325517395867474</v>
      </c>
      <c r="E14" s="21">
        <f t="shared" si="0"/>
        <v>1.1544630494743193</v>
      </c>
    </row>
    <row r="15" spans="1:5" x14ac:dyDescent="0.3">
      <c r="A15" s="11">
        <v>1993</v>
      </c>
      <c r="B15" s="10">
        <f>pib_niveles!B15 / pib_niveles!$E15</f>
        <v>8.8823359597453855E-3</v>
      </c>
      <c r="C15" s="10">
        <f>pib_niveles!C15 / pib_niveles!$E15</f>
        <v>0.41710720334516654</v>
      </c>
      <c r="D15" s="10">
        <f>pib_niveles!D15 / pib_niveles!$E15</f>
        <v>0.50466914238787985</v>
      </c>
      <c r="E15" s="21">
        <f t="shared" si="0"/>
        <v>1.2099267007150045</v>
      </c>
    </row>
    <row r="16" spans="1:5" x14ac:dyDescent="0.3">
      <c r="A16" s="11">
        <v>1994</v>
      </c>
      <c r="B16" s="10">
        <f>pib_niveles!B16 / pib_niveles!$E16</f>
        <v>1.019173886431843E-2</v>
      </c>
      <c r="C16" s="10">
        <f>pib_niveles!C16 / pib_niveles!$E16</f>
        <v>0.41454772225240205</v>
      </c>
      <c r="D16" s="10">
        <f>pib_niveles!D16 / pib_niveles!$E16</f>
        <v>0.50416515648330984</v>
      </c>
      <c r="E16" s="21">
        <f t="shared" si="0"/>
        <v>1.2161812245499282</v>
      </c>
    </row>
    <row r="17" spans="1:5" x14ac:dyDescent="0.3">
      <c r="A17" s="11">
        <v>1995</v>
      </c>
      <c r="B17" s="10">
        <f>pib_niveles!B17 / pib_niveles!$E17</f>
        <v>1.2017081249015651E-2</v>
      </c>
      <c r="C17" s="10">
        <f>pib_niveles!C17 / pib_niveles!$E17</f>
        <v>0.39663264064925713</v>
      </c>
      <c r="D17" s="10">
        <f>pib_niveles!D17 / pib_niveles!$E17</f>
        <v>0.52141756414198603</v>
      </c>
      <c r="E17" s="21">
        <f t="shared" si="0"/>
        <v>1.3146108280157316</v>
      </c>
    </row>
    <row r="18" spans="1:5" x14ac:dyDescent="0.3">
      <c r="A18" s="11">
        <v>1996</v>
      </c>
      <c r="B18" s="10">
        <f>pib_niveles!B18 / pib_niveles!$E18</f>
        <v>1.1610039032195539E-2</v>
      </c>
      <c r="C18" s="10">
        <f>pib_niveles!C18 / pib_niveles!$E18</f>
        <v>0.41707419681857211</v>
      </c>
      <c r="D18" s="10">
        <f>pib_niveles!D18 / pib_niveles!$E18</f>
        <v>0.50248703123537508</v>
      </c>
      <c r="E18" s="21">
        <f t="shared" si="0"/>
        <v>1.2047905026691395</v>
      </c>
    </row>
    <row r="19" spans="1:5" x14ac:dyDescent="0.3">
      <c r="A19" s="11">
        <v>1997</v>
      </c>
      <c r="B19" s="10">
        <f>pib_niveles!B19 / pib_niveles!$E19</f>
        <v>1.0109531846916231E-2</v>
      </c>
      <c r="C19" s="10">
        <f>pib_niveles!C19 / pib_niveles!$E19</f>
        <v>0.42619068269759641</v>
      </c>
      <c r="D19" s="10">
        <f>pib_niveles!D19 / pib_niveles!$E19</f>
        <v>0.49456396655109591</v>
      </c>
      <c r="E19" s="21">
        <f t="shared" si="0"/>
        <v>1.1604288564469012</v>
      </c>
    </row>
    <row r="20" spans="1:5" x14ac:dyDescent="0.3">
      <c r="A20" s="11">
        <v>1998</v>
      </c>
      <c r="B20" s="10">
        <f>pib_niveles!B20 / pib_niveles!$E20</f>
        <v>1.0748710675218249E-2</v>
      </c>
      <c r="C20" s="10">
        <f>pib_niveles!C20 / pib_niveles!$E20</f>
        <v>0.42473766670763585</v>
      </c>
      <c r="D20" s="10">
        <f>pib_niveles!D20 / pib_niveles!$E20</f>
        <v>0.49492283414168531</v>
      </c>
      <c r="E20" s="21">
        <f t="shared" si="0"/>
        <v>1.1652435678193824</v>
      </c>
    </row>
    <row r="21" spans="1:5" x14ac:dyDescent="0.3">
      <c r="A21" s="11">
        <v>1999</v>
      </c>
      <c r="B21" s="10">
        <f>pib_niveles!B21 / pib_niveles!$E21</f>
        <v>8.6961446488772378E-3</v>
      </c>
      <c r="C21" s="10">
        <f>pib_niveles!C21 / pib_niveles!$E21</f>
        <v>0.42632791663214975</v>
      </c>
      <c r="D21" s="10">
        <f>pib_niveles!D21 / pib_niveles!$E21</f>
        <v>0.49522024147624949</v>
      </c>
      <c r="E21" s="21">
        <f t="shared" si="0"/>
        <v>1.1615946837080866</v>
      </c>
    </row>
    <row r="22" spans="1:5" x14ac:dyDescent="0.3">
      <c r="A22" s="11">
        <v>2000</v>
      </c>
      <c r="B22" s="10">
        <f>pib_niveles!B22 / pib_niveles!$E22</f>
        <v>7.6207084180508972E-3</v>
      </c>
      <c r="C22" s="10">
        <f>pib_niveles!C22 / pib_niveles!$E22</f>
        <v>0.42559720862881484</v>
      </c>
      <c r="D22" s="10">
        <f>pib_niveles!D22 / pib_niveles!$E22</f>
        <v>0.4981537909993396</v>
      </c>
      <c r="E22" s="21">
        <f t="shared" si="0"/>
        <v>1.1704818097944929</v>
      </c>
    </row>
    <row r="23" spans="1:5" x14ac:dyDescent="0.3">
      <c r="A23" s="11">
        <v>2001</v>
      </c>
      <c r="B23" s="10">
        <f>pib_niveles!B23 / pib_niveles!$E23</f>
        <v>8.7904064865248713E-3</v>
      </c>
      <c r="C23" s="10">
        <f>pib_niveles!C23 / pib_niveles!$E23</f>
        <v>0.42259672254380382</v>
      </c>
      <c r="D23" s="10">
        <f>pib_niveles!D23 / pib_niveles!$E23</f>
        <v>0.49580374197496341</v>
      </c>
      <c r="E23" s="21">
        <f t="shared" si="0"/>
        <v>1.1732313942012917</v>
      </c>
    </row>
    <row r="24" spans="1:5" x14ac:dyDescent="0.3">
      <c r="A24" s="11">
        <v>2002</v>
      </c>
      <c r="B24" s="10">
        <f>pib_niveles!B24 / pib_niveles!$E24</f>
        <v>9.0409993529126705E-3</v>
      </c>
      <c r="C24" s="10">
        <f>pib_niveles!C24 / pib_niveles!$E24</f>
        <v>0.41649533316398885</v>
      </c>
      <c r="D24" s="10">
        <f>pib_niveles!D24 / pib_niveles!$E24</f>
        <v>0.50046331033756941</v>
      </c>
      <c r="E24" s="21">
        <f t="shared" si="0"/>
        <v>1.2016060457045252</v>
      </c>
    </row>
    <row r="25" spans="1:5" x14ac:dyDescent="0.3">
      <c r="A25" s="11">
        <v>2003</v>
      </c>
      <c r="B25" s="10">
        <f>pib_niveles!B25 / pib_niveles!$E25</f>
        <v>8.7310674694685651E-3</v>
      </c>
      <c r="C25" s="10">
        <f>pib_niveles!C25 / pib_niveles!$E25</f>
        <v>0.4182467088073476</v>
      </c>
      <c r="D25" s="10">
        <f>pib_niveles!D25 / pib_niveles!$E25</f>
        <v>0.49775042861962876</v>
      </c>
      <c r="E25" s="21">
        <f t="shared" si="0"/>
        <v>1.1900880942709393</v>
      </c>
    </row>
    <row r="26" spans="1:5" x14ac:dyDescent="0.3">
      <c r="A26" s="11">
        <v>2004</v>
      </c>
      <c r="B26" s="10">
        <f>pib_niveles!B26 / pib_niveles!$E26</f>
        <v>7.7489361707894847E-3</v>
      </c>
      <c r="C26" s="10">
        <f>pib_niveles!C26 / pib_niveles!$E26</f>
        <v>0.4133399946295635</v>
      </c>
      <c r="D26" s="10">
        <f>pib_niveles!D26 / pib_niveles!$E26</f>
        <v>0.5042264967192005</v>
      </c>
      <c r="E26" s="21">
        <f t="shared" si="0"/>
        <v>1.2198831549584011</v>
      </c>
    </row>
    <row r="27" spans="1:5" x14ac:dyDescent="0.3">
      <c r="A27" s="11">
        <v>2005</v>
      </c>
      <c r="B27" s="10">
        <f>pib_niveles!B27 / pib_niveles!$E27</f>
        <v>7.0493103493586597E-3</v>
      </c>
      <c r="C27" s="10">
        <f>pib_niveles!C27 / pib_niveles!$E27</f>
        <v>0.41699637052746541</v>
      </c>
      <c r="D27" s="10">
        <f>pib_niveles!D27 / pib_niveles!$E27</f>
        <v>0.50345348218526143</v>
      </c>
      <c r="E27" s="21">
        <f t="shared" si="0"/>
        <v>1.2073330075953299</v>
      </c>
    </row>
    <row r="28" spans="1:5" x14ac:dyDescent="0.3">
      <c r="A28" s="11">
        <v>2006</v>
      </c>
      <c r="B28" s="10">
        <f>pib_niveles!B28 / pib_niveles!$E28</f>
        <v>6.4146170986421622E-3</v>
      </c>
      <c r="C28" s="10">
        <f>pib_niveles!C28 / pib_niveles!$E28</f>
        <v>0.42168767012443137</v>
      </c>
      <c r="D28" s="10">
        <f>pib_niveles!D28 / pib_niveles!$E28</f>
        <v>0.49992076804858954</v>
      </c>
      <c r="E28" s="21">
        <f t="shared" si="0"/>
        <v>1.1855237975088841</v>
      </c>
    </row>
    <row r="29" spans="1:5" x14ac:dyDescent="0.3">
      <c r="A29" s="11">
        <v>2007</v>
      </c>
      <c r="B29" s="10">
        <f>pib_niveles!B29 / pib_niveles!$E29</f>
        <v>6.7527921868848484E-3</v>
      </c>
      <c r="C29" s="10">
        <f>pib_niveles!C29 / pib_niveles!$E29</f>
        <v>0.41778405754678444</v>
      </c>
      <c r="D29" s="10">
        <f>pib_niveles!D29 / pib_niveles!$E29</f>
        <v>0.50568487497286263</v>
      </c>
      <c r="E29" s="21">
        <f t="shared" si="0"/>
        <v>1.2103977302107438</v>
      </c>
    </row>
    <row r="30" spans="1:5" x14ac:dyDescent="0.3">
      <c r="A30" s="11">
        <v>2008</v>
      </c>
      <c r="B30" s="10">
        <f>pib_niveles!B30 / pib_niveles!$E30</f>
        <v>6.3380106789581031E-3</v>
      </c>
      <c r="C30" s="10">
        <f>pib_niveles!C30 / pib_niveles!$E30</f>
        <v>0.40798386560984384</v>
      </c>
      <c r="D30" s="10">
        <f>pib_niveles!D30 / pib_niveles!$E30</f>
        <v>0.51437120332264896</v>
      </c>
      <c r="E30" s="21">
        <f t="shared" si="0"/>
        <v>1.2607635906233206</v>
      </c>
    </row>
    <row r="31" spans="1:5" x14ac:dyDescent="0.3">
      <c r="A31" s="11">
        <v>2009</v>
      </c>
      <c r="B31" s="10">
        <f>pib_niveles!B31 / pib_niveles!$E31</f>
        <v>7.1934655975674855E-3</v>
      </c>
      <c r="C31" s="10">
        <f>pib_niveles!C31 / pib_niveles!$E31</f>
        <v>0.4095525279771004</v>
      </c>
      <c r="D31" s="10">
        <f>pib_niveles!D31 / pib_niveles!$E31</f>
        <v>0.51532147327740241</v>
      </c>
      <c r="E31" s="21">
        <f t="shared" si="0"/>
        <v>1.258254895465365</v>
      </c>
    </row>
    <row r="32" spans="1:5" x14ac:dyDescent="0.3">
      <c r="A32" s="11">
        <v>2010</v>
      </c>
      <c r="B32" s="10">
        <f>pib_niveles!B32 / pib_niveles!$E32</f>
        <v>7.0330069437633111E-3</v>
      </c>
      <c r="C32" s="10">
        <f>pib_niveles!C32 / pib_niveles!$E32</f>
        <v>0.41219982411732636</v>
      </c>
      <c r="D32" s="10">
        <f>pib_niveles!D32 / pib_niveles!$E32</f>
        <v>0.51646960250558294</v>
      </c>
      <c r="E32" s="21">
        <f t="shared" si="0"/>
        <v>1.2529592985914952</v>
      </c>
    </row>
    <row r="33" spans="1:5" x14ac:dyDescent="0.3">
      <c r="A33" s="11">
        <v>2011</v>
      </c>
      <c r="B33" s="10">
        <f>pib_niveles!B33 / pib_niveles!$E33</f>
        <v>6.0872979054463682E-3</v>
      </c>
      <c r="C33" s="10">
        <f>pib_niveles!C33 / pib_niveles!$E33</f>
        <v>0.40863076595223596</v>
      </c>
      <c r="D33" s="10">
        <f>pib_niveles!D33 / pib_niveles!$E33</f>
        <v>0.52384868803897999</v>
      </c>
      <c r="E33" s="21">
        <f t="shared" si="0"/>
        <v>1.2819609576343345</v>
      </c>
    </row>
    <row r="34" spans="1:5" x14ac:dyDescent="0.3">
      <c r="A34" s="11">
        <v>2012</v>
      </c>
      <c r="B34" s="10">
        <f>pib_niveles!B34 / pib_niveles!$E34</f>
        <v>6.0980519180408093E-3</v>
      </c>
      <c r="C34" s="10">
        <f>pib_niveles!C34 / pib_niveles!$E34</f>
        <v>0.40345208835429647</v>
      </c>
      <c r="D34" s="10">
        <f>pib_niveles!D34 / pib_niveles!$E34</f>
        <v>0.53169711942567233</v>
      </c>
      <c r="E34" s="21">
        <f t="shared" si="0"/>
        <v>1.3178692954459461</v>
      </c>
    </row>
    <row r="35" spans="1:5" x14ac:dyDescent="0.3">
      <c r="A35" s="11">
        <v>2013</v>
      </c>
      <c r="B35" s="10">
        <f>pib_niveles!B35 / pib_niveles!$E35</f>
        <v>6.0450190352036035E-3</v>
      </c>
      <c r="C35" s="10">
        <f>pib_niveles!C35 / pib_niveles!$E35</f>
        <v>0.39601478246053001</v>
      </c>
      <c r="D35" s="10">
        <f>pib_niveles!D35 / pib_niveles!$E35</f>
        <v>0.54038156638709989</v>
      </c>
      <c r="E35" s="21">
        <f t="shared" si="0"/>
        <v>1.3645489772618744</v>
      </c>
    </row>
    <row r="36" spans="1:5" x14ac:dyDescent="0.3">
      <c r="A36" s="11">
        <v>2014</v>
      </c>
      <c r="B36" s="10">
        <f>pib_niveles!B36 / pib_niveles!$E36</f>
        <v>5.9498785398783335E-3</v>
      </c>
      <c r="C36" s="10">
        <f>pib_niveles!C36 / pib_niveles!$E36</f>
        <v>0.39933383728059352</v>
      </c>
      <c r="D36" s="10">
        <f>pib_niveles!D36 / pib_niveles!$E36</f>
        <v>0.53699946643641361</v>
      </c>
      <c r="E36" s="21">
        <f t="shared" si="0"/>
        <v>1.3447382022352612</v>
      </c>
    </row>
    <row r="37" spans="1:5" x14ac:dyDescent="0.3">
      <c r="A37" s="11">
        <v>2015</v>
      </c>
      <c r="B37" s="10">
        <f>pib_niveles!B37 / pib_niveles!$E37</f>
        <v>5.3326692620962795E-3</v>
      </c>
      <c r="C37" s="10">
        <f>pib_niveles!C37 / pib_niveles!$E37</f>
        <v>0.39829174498851611</v>
      </c>
      <c r="D37" s="10">
        <f>pib_niveles!D37 / pib_niveles!$E37</f>
        <v>0.53637432633187276</v>
      </c>
      <c r="E37" s="21">
        <f t="shared" si="0"/>
        <v>1.3466870279908463</v>
      </c>
    </row>
    <row r="38" spans="1:5" x14ac:dyDescent="0.3">
      <c r="A38" s="11">
        <v>2016</v>
      </c>
      <c r="B38" s="10">
        <f>pib_niveles!B38 / pib_niveles!$E38</f>
        <v>4.8420506917986874E-3</v>
      </c>
      <c r="C38" s="10">
        <f>pib_niveles!C38 / pib_niveles!$E38</f>
        <v>0.38531867747173548</v>
      </c>
      <c r="D38" s="10">
        <f>pib_niveles!D38 / pib_niveles!$E38</f>
        <v>0.54765708641184008</v>
      </c>
      <c r="E38" s="21">
        <f t="shared" si="0"/>
        <v>1.4213094729933322</v>
      </c>
    </row>
    <row r="39" spans="1:5" x14ac:dyDescent="0.3">
      <c r="A39" s="11">
        <v>2017</v>
      </c>
      <c r="B39" s="10">
        <f>pib_niveles!B39 / pib_niveles!$E39</f>
        <v>4.6976937971861879E-3</v>
      </c>
      <c r="C39" s="10">
        <f>pib_niveles!C39 / pib_niveles!$E39</f>
        <v>0.38418597269428689</v>
      </c>
      <c r="D39" s="10">
        <f>pib_niveles!D39 / pib_niveles!$E39</f>
        <v>0.54915294594278807</v>
      </c>
      <c r="E39" s="21">
        <f t="shared" si="0"/>
        <v>1.4293935358742846</v>
      </c>
    </row>
    <row r="40" spans="1:5" x14ac:dyDescent="0.3">
      <c r="A40" s="11">
        <v>2018</v>
      </c>
      <c r="B40" s="10">
        <f>pib_niveles!B40 / pib_niveles!$E40</f>
        <v>4.47007272583944E-3</v>
      </c>
      <c r="C40" s="10">
        <f>pib_niveles!C40 / pib_niveles!$E40</f>
        <v>0.39914498879110594</v>
      </c>
      <c r="D40" s="10">
        <f>pib_niveles!D40 / pib_niveles!$E40</f>
        <v>0.53335814021873407</v>
      </c>
      <c r="E40" s="21">
        <f t="shared" si="0"/>
        <v>1.3362516258418293</v>
      </c>
    </row>
    <row r="41" spans="1:5" x14ac:dyDescent="0.3">
      <c r="A41" s="11">
        <v>2019</v>
      </c>
      <c r="B41" s="10">
        <f>pib_niveles!B41 / pib_niveles!$E41</f>
        <v>4.8903599706371561E-3</v>
      </c>
      <c r="C41" s="10">
        <f>pib_niveles!C41 / pib_niveles!$E41</f>
        <v>0.39807043144193838</v>
      </c>
      <c r="D41" s="10">
        <f>pib_niveles!D41 / pib_niveles!$E41</f>
        <v>0.53353954623207578</v>
      </c>
      <c r="E41" s="21">
        <f t="shared" si="0"/>
        <v>1.3403144370694025</v>
      </c>
    </row>
    <row r="42" spans="1:5" x14ac:dyDescent="0.3">
      <c r="A42" s="11">
        <v>2020</v>
      </c>
      <c r="B42" s="10">
        <f>pib_niveles!B42 / pib_niveles!$E42</f>
        <v>5.3474201630696111E-3</v>
      </c>
      <c r="C42" s="10">
        <f>pib_niveles!C42 / pib_niveles!$E42</f>
        <v>0.38833407914217455</v>
      </c>
      <c r="D42" s="10">
        <f>pib_niveles!D42 / pib_niveles!$E42</f>
        <v>0.54721780444381796</v>
      </c>
      <c r="E42" s="21">
        <f t="shared" si="0"/>
        <v>1.4091418544893504</v>
      </c>
    </row>
    <row r="43" spans="1:5" x14ac:dyDescent="0.3">
      <c r="A43" s="11">
        <v>2021</v>
      </c>
      <c r="B43" s="10">
        <f>pib_niveles!B43 / pib_niveles!$E43</f>
        <v>4.8609771115922943E-3</v>
      </c>
      <c r="C43" s="10">
        <f>pib_niveles!C43 / pib_niveles!$E43</f>
        <v>0.39716472549172116</v>
      </c>
      <c r="D43" s="10">
        <f>pib_niveles!D43 / pib_niveles!$E43</f>
        <v>0.53638169707585714</v>
      </c>
      <c r="E43" s="21">
        <f t="shared" si="0"/>
        <v>1.3505270298407654</v>
      </c>
    </row>
    <row r="44" spans="1:5" x14ac:dyDescent="0.3">
      <c r="A44" s="11">
        <v>2022</v>
      </c>
      <c r="B44" s="10">
        <f>pib_niveles!B44 / pib_niveles!$E44</f>
        <v>4.8291210407999108E-3</v>
      </c>
      <c r="C44" s="10">
        <f>pib_niveles!C44 / pib_niveles!$E44</f>
        <v>0.39841908470978921</v>
      </c>
      <c r="D44" s="10">
        <f>pib_niveles!D44 / pib_niveles!$E44</f>
        <v>0.53356846942232716</v>
      </c>
      <c r="E44" s="21">
        <f t="shared" si="0"/>
        <v>1.3392141338083279</v>
      </c>
    </row>
    <row r="45" spans="1:5" x14ac:dyDescent="0.3">
      <c r="A45" s="11">
        <v>2023</v>
      </c>
      <c r="B45" s="10">
        <f>pib_niveles!B45 / pib_niveles!$E45</f>
        <v>4.6760431242533033E-3</v>
      </c>
      <c r="C45" s="10">
        <f>pib_niveles!C45 / pib_niveles!$E45</f>
        <v>0.39694091853572927</v>
      </c>
      <c r="D45" s="10">
        <f>pib_niveles!D45 / pib_niveles!$E45</f>
        <v>0.53523965944198293</v>
      </c>
      <c r="E45" s="21">
        <f t="shared" si="0"/>
        <v>1.3484113994002489</v>
      </c>
    </row>
    <row r="46" spans="1:5" x14ac:dyDescent="0.3">
      <c r="A46" s="11">
        <v>2024</v>
      </c>
      <c r="B46" s="10">
        <f>pib_niveles!B46 / pib_niveles!$E46</f>
        <v>4.6195521785018989E-3</v>
      </c>
      <c r="C46" s="10">
        <f>pib_niveles!C46 / pib_niveles!$E46</f>
        <v>0.39628594006220591</v>
      </c>
      <c r="D46" s="10">
        <f>pib_niveles!D46 / pib_niveles!$E46</f>
        <v>0.53590916784328135</v>
      </c>
      <c r="E46" s="21">
        <f t="shared" si="0"/>
        <v>1.3523295016703305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3B51-C383-404D-8272-5943055247DF}">
  <dimension ref="A1:W23"/>
  <sheetViews>
    <sheetView workbookViewId="0">
      <selection activeCell="C36" sqref="C36"/>
    </sheetView>
  </sheetViews>
  <sheetFormatPr baseColWidth="10" defaultColWidth="8.88671875" defaultRowHeight="14.4" x14ac:dyDescent="0.3"/>
  <cols>
    <col min="1" max="1" width="12.5546875" customWidth="1"/>
    <col min="2" max="2" width="17.109375" customWidth="1"/>
    <col min="3" max="3" width="25.109375" customWidth="1"/>
    <col min="4" max="4" width="27.88671875" customWidth="1"/>
    <col min="5" max="5" width="16.88671875" customWidth="1"/>
  </cols>
  <sheetData>
    <row r="1" spans="1:23" x14ac:dyDescent="0.3">
      <c r="A1" s="12" t="s">
        <v>73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</row>
    <row r="2" spans="1:23" x14ac:dyDescent="0.3">
      <c r="A2" s="12" t="s">
        <v>74</v>
      </c>
      <c r="B2">
        <v>11260.127</v>
      </c>
      <c r="C2">
        <v>10348.764999999999</v>
      </c>
      <c r="D2">
        <v>9649.5329999999994</v>
      </c>
      <c r="E2">
        <v>9426.8179999999993</v>
      </c>
      <c r="F2">
        <v>10348.043</v>
      </c>
      <c r="G2">
        <v>9707.6460000000006</v>
      </c>
      <c r="H2">
        <v>10150.258</v>
      </c>
      <c r="I2">
        <v>10616.776</v>
      </c>
      <c r="J2">
        <v>9489.0930000000008</v>
      </c>
      <c r="K2">
        <v>9890.6149999999998</v>
      </c>
      <c r="L2">
        <v>9741.9639999999999</v>
      </c>
      <c r="M2">
        <v>9918.2970000000005</v>
      </c>
      <c r="N2">
        <v>9215.7270000000008</v>
      </c>
      <c r="O2">
        <v>8444.3469999999998</v>
      </c>
      <c r="P2">
        <v>8499.7420000000002</v>
      </c>
      <c r="Q2">
        <v>8533.4869999999992</v>
      </c>
      <c r="R2">
        <v>9383.7450000000008</v>
      </c>
      <c r="S2">
        <v>9321.4390000000003</v>
      </c>
      <c r="T2">
        <v>9069.9770000000008</v>
      </c>
      <c r="U2">
        <v>9313.7250000000004</v>
      </c>
      <c r="V2">
        <v>9312.4320000000007</v>
      </c>
      <c r="W2">
        <v>9516.2569999999996</v>
      </c>
    </row>
    <row r="3" spans="1:23" x14ac:dyDescent="0.3">
      <c r="A3" s="12" t="s">
        <v>75</v>
      </c>
      <c r="B3">
        <v>11590.216</v>
      </c>
      <c r="C3">
        <v>11820.465</v>
      </c>
      <c r="D3">
        <v>12528.996999999999</v>
      </c>
      <c r="E3">
        <v>11961.227999999999</v>
      </c>
      <c r="F3">
        <v>12573.105</v>
      </c>
      <c r="G3">
        <v>11914.638999999999</v>
      </c>
      <c r="H3">
        <v>13164.976000000001</v>
      </c>
      <c r="I3">
        <v>14077.064</v>
      </c>
      <c r="J3">
        <v>13510.835999999999</v>
      </c>
      <c r="K3">
        <v>12701.054</v>
      </c>
      <c r="L3">
        <v>14300.29</v>
      </c>
      <c r="M3">
        <v>14032.451999999999</v>
      </c>
      <c r="N3">
        <v>14646.654</v>
      </c>
      <c r="O3">
        <v>11645.23</v>
      </c>
      <c r="P3">
        <v>10355.522000000001</v>
      </c>
      <c r="Q3">
        <v>11616.584000000001</v>
      </c>
      <c r="R3">
        <v>10483.656000000001</v>
      </c>
      <c r="S3">
        <v>10161.795</v>
      </c>
      <c r="T3">
        <v>10638.821</v>
      </c>
      <c r="U3">
        <v>11527.047</v>
      </c>
      <c r="V3">
        <v>12938.428</v>
      </c>
      <c r="W3">
        <v>12780.661</v>
      </c>
    </row>
    <row r="4" spans="1:23" x14ac:dyDescent="0.3">
      <c r="A4" s="12" t="s">
        <v>76</v>
      </c>
      <c r="B4">
        <v>16542.315999999999</v>
      </c>
      <c r="C4">
        <v>16860.958999999999</v>
      </c>
      <c r="D4">
        <v>17510.960999999999</v>
      </c>
      <c r="E4">
        <v>21781.683000000001</v>
      </c>
      <c r="F4">
        <v>21730.159</v>
      </c>
      <c r="G4">
        <v>24519.21</v>
      </c>
      <c r="H4">
        <v>23945.844000000001</v>
      </c>
      <c r="I4">
        <v>24213.278999999999</v>
      </c>
      <c r="J4">
        <v>27733.108</v>
      </c>
      <c r="K4">
        <v>28783.612000000001</v>
      </c>
      <c r="L4">
        <v>28279.915000000001</v>
      </c>
      <c r="M4">
        <v>29194.378000000001</v>
      </c>
      <c r="N4">
        <v>31504.741999999998</v>
      </c>
      <c r="O4">
        <v>30621.097000000002</v>
      </c>
      <c r="P4">
        <v>29841.172999999999</v>
      </c>
      <c r="Q4">
        <v>33990.093000000001</v>
      </c>
      <c r="R4">
        <v>35106.588000000003</v>
      </c>
      <c r="S4">
        <v>27309.955000000002</v>
      </c>
      <c r="T4">
        <v>26065.999</v>
      </c>
      <c r="U4">
        <v>23386.639999999999</v>
      </c>
      <c r="V4">
        <v>24748.877</v>
      </c>
      <c r="W4">
        <v>23977.042000000001</v>
      </c>
    </row>
    <row r="5" spans="1:23" x14ac:dyDescent="0.3">
      <c r="A5" s="12" t="s">
        <v>77</v>
      </c>
      <c r="B5">
        <v>59293.374000000003</v>
      </c>
      <c r="C5">
        <v>64410.38</v>
      </c>
      <c r="D5">
        <v>75136.481</v>
      </c>
      <c r="E5">
        <v>89333.495999999999</v>
      </c>
      <c r="F5">
        <v>106879.09699999999</v>
      </c>
      <c r="G5">
        <v>96974.387000000002</v>
      </c>
      <c r="H5">
        <v>81320.691000000006</v>
      </c>
      <c r="I5">
        <v>91212.764999999999</v>
      </c>
      <c r="J5">
        <v>93418.593999999997</v>
      </c>
      <c r="K5">
        <v>89199.505999999994</v>
      </c>
      <c r="L5">
        <v>88938.381999999998</v>
      </c>
      <c r="M5">
        <v>99017.188999999998</v>
      </c>
      <c r="N5">
        <v>113525.003</v>
      </c>
      <c r="O5">
        <v>101364.348</v>
      </c>
      <c r="P5">
        <v>103626.334</v>
      </c>
      <c r="Q5">
        <v>113979.548</v>
      </c>
      <c r="R5">
        <v>112729.124</v>
      </c>
      <c r="S5">
        <v>99841.843999999997</v>
      </c>
      <c r="T5">
        <v>102712.757</v>
      </c>
      <c r="U5">
        <v>94369.373000000007</v>
      </c>
      <c r="V5">
        <v>95467.232000000004</v>
      </c>
      <c r="W5">
        <v>117418.849</v>
      </c>
    </row>
    <row r="6" spans="1:23" x14ac:dyDescent="0.3">
      <c r="A6" s="12" t="s">
        <v>78</v>
      </c>
      <c r="B6">
        <v>451971.03200000001</v>
      </c>
      <c r="C6">
        <v>458926.99900000001</v>
      </c>
      <c r="D6">
        <v>465634.04300000001</v>
      </c>
      <c r="E6">
        <v>496629.00300000003</v>
      </c>
      <c r="F6">
        <v>499033.90399999998</v>
      </c>
      <c r="G6">
        <v>491482.30800000002</v>
      </c>
      <c r="H6">
        <v>459462.93599999999</v>
      </c>
      <c r="I6">
        <v>492739.01899999997</v>
      </c>
      <c r="J6">
        <v>502325.4</v>
      </c>
      <c r="K6">
        <v>523686.98300000001</v>
      </c>
      <c r="L6">
        <v>506686.47600000002</v>
      </c>
      <c r="M6">
        <v>523435.38500000001</v>
      </c>
      <c r="N6">
        <v>528637.05299999996</v>
      </c>
      <c r="O6">
        <v>528350.02599999995</v>
      </c>
      <c r="P6">
        <v>551301.38500000001</v>
      </c>
      <c r="Q6">
        <v>602392.11</v>
      </c>
      <c r="R6">
        <v>605508.13</v>
      </c>
      <c r="S6">
        <v>539617.02300000004</v>
      </c>
      <c r="T6">
        <v>601642.26399999997</v>
      </c>
      <c r="U6">
        <v>639131.26599999995</v>
      </c>
      <c r="V6">
        <v>657361.12199999997</v>
      </c>
      <c r="W6">
        <v>662170.72699999996</v>
      </c>
    </row>
    <row r="7" spans="1:23" x14ac:dyDescent="0.3">
      <c r="A7" s="12" t="s">
        <v>79</v>
      </c>
      <c r="B7">
        <v>106297.508</v>
      </c>
      <c r="C7">
        <v>113614.15399999999</v>
      </c>
      <c r="D7">
        <v>117285.43</v>
      </c>
      <c r="E7">
        <v>127357.675</v>
      </c>
      <c r="F7">
        <v>133262.15900000001</v>
      </c>
      <c r="G7">
        <v>135645.97200000001</v>
      </c>
      <c r="H7">
        <v>115960.432</v>
      </c>
      <c r="I7">
        <v>130362.985</v>
      </c>
      <c r="J7">
        <v>143260.52600000001</v>
      </c>
      <c r="K7">
        <v>151318.073</v>
      </c>
      <c r="L7">
        <v>151816.114</v>
      </c>
      <c r="M7">
        <v>162919.66200000001</v>
      </c>
      <c r="N7">
        <v>165181.43799999999</v>
      </c>
      <c r="O7">
        <v>166962.307</v>
      </c>
      <c r="P7">
        <v>168878.67199999999</v>
      </c>
      <c r="Q7">
        <v>173152.00099999999</v>
      </c>
      <c r="R7">
        <v>169050.95300000001</v>
      </c>
      <c r="S7">
        <v>155964.24</v>
      </c>
      <c r="T7">
        <v>170397.68799999999</v>
      </c>
      <c r="U7">
        <v>182604.18900000001</v>
      </c>
      <c r="V7">
        <v>192037.88099999999</v>
      </c>
      <c r="W7">
        <v>194918.38</v>
      </c>
    </row>
    <row r="8" spans="1:23" x14ac:dyDescent="0.3">
      <c r="A8" s="12" t="s">
        <v>80</v>
      </c>
      <c r="B8">
        <v>106239.361</v>
      </c>
      <c r="C8">
        <v>111299.53200000001</v>
      </c>
      <c r="D8">
        <v>115009.659</v>
      </c>
      <c r="E8">
        <v>123299.47500000001</v>
      </c>
      <c r="F8">
        <v>128812.13800000001</v>
      </c>
      <c r="G8">
        <v>128932.781</v>
      </c>
      <c r="H8">
        <v>108140.678</v>
      </c>
      <c r="I8">
        <v>124050.645</v>
      </c>
      <c r="J8">
        <v>129812.58500000001</v>
      </c>
      <c r="K8">
        <v>138573.81200000001</v>
      </c>
      <c r="L8">
        <v>133133.34</v>
      </c>
      <c r="M8">
        <v>137215.74100000001</v>
      </c>
      <c r="N8">
        <v>139218.38399999999</v>
      </c>
      <c r="O8">
        <v>140973.94500000001</v>
      </c>
      <c r="P8">
        <v>142583.125</v>
      </c>
      <c r="Q8">
        <v>143170.766</v>
      </c>
      <c r="R8">
        <v>141000.929</v>
      </c>
      <c r="S8">
        <v>133159.84400000001</v>
      </c>
      <c r="T8">
        <v>141074.44</v>
      </c>
      <c r="U8">
        <v>150739.57800000001</v>
      </c>
      <c r="V8">
        <v>156772.31099999999</v>
      </c>
      <c r="W8">
        <v>162137.02600000001</v>
      </c>
    </row>
    <row r="9" spans="1:23" x14ac:dyDescent="0.3">
      <c r="A9" s="12" t="s">
        <v>81</v>
      </c>
      <c r="B9">
        <v>97536.803</v>
      </c>
      <c r="C9">
        <v>104769.423</v>
      </c>
      <c r="D9">
        <v>106696.288</v>
      </c>
      <c r="E9">
        <v>111952.667</v>
      </c>
      <c r="F9">
        <v>116271.232</v>
      </c>
      <c r="G9">
        <v>115013.20299999999</v>
      </c>
      <c r="H9">
        <v>102662.46799999999</v>
      </c>
      <c r="I9">
        <v>113286.247</v>
      </c>
      <c r="J9">
        <v>120313.655</v>
      </c>
      <c r="K9">
        <v>129243.054</v>
      </c>
      <c r="L9">
        <v>131289.25200000001</v>
      </c>
      <c r="M9">
        <v>138969.71400000001</v>
      </c>
      <c r="N9">
        <v>147104.693</v>
      </c>
      <c r="O9">
        <v>150282.717</v>
      </c>
      <c r="P9">
        <v>160174.66200000001</v>
      </c>
      <c r="Q9">
        <v>165128.715</v>
      </c>
      <c r="R9">
        <v>165008.636</v>
      </c>
      <c r="S9">
        <v>144769.14799999999</v>
      </c>
      <c r="T9">
        <v>164535.68400000001</v>
      </c>
      <c r="U9">
        <v>180352.139</v>
      </c>
      <c r="V9">
        <v>187058.12700000001</v>
      </c>
      <c r="W9">
        <v>193809.38</v>
      </c>
    </row>
    <row r="10" spans="1:23" x14ac:dyDescent="0.3">
      <c r="A10" s="12" t="s">
        <v>82</v>
      </c>
      <c r="B10">
        <v>7852.3649999999998</v>
      </c>
      <c r="C10">
        <v>8824.9670000000006</v>
      </c>
      <c r="D10">
        <v>9795.17</v>
      </c>
      <c r="E10">
        <v>10785.807000000001</v>
      </c>
      <c r="F10">
        <v>12724.86</v>
      </c>
      <c r="G10">
        <v>13523.191999999999</v>
      </c>
      <c r="H10">
        <v>13804.383</v>
      </c>
      <c r="I10">
        <v>13722.151</v>
      </c>
      <c r="J10">
        <v>14396.071</v>
      </c>
      <c r="K10">
        <v>15467.484</v>
      </c>
      <c r="L10">
        <v>16053.948</v>
      </c>
      <c r="M10">
        <v>17118.947</v>
      </c>
      <c r="N10">
        <v>20342.504000000001</v>
      </c>
      <c r="O10">
        <v>24094.442999999999</v>
      </c>
      <c r="P10">
        <v>25571.602999999999</v>
      </c>
      <c r="Q10">
        <v>27742.824000000001</v>
      </c>
      <c r="R10">
        <v>29212.028999999999</v>
      </c>
      <c r="S10">
        <v>28217.686000000002</v>
      </c>
      <c r="T10">
        <v>30738.544999999998</v>
      </c>
      <c r="U10">
        <v>36545.71</v>
      </c>
      <c r="V10">
        <v>39152.377</v>
      </c>
      <c r="W10">
        <v>42387.79</v>
      </c>
    </row>
    <row r="11" spans="1:23" x14ac:dyDescent="0.3">
      <c r="A11" s="12" t="s">
        <v>83</v>
      </c>
      <c r="B11">
        <v>19973.780999999999</v>
      </c>
      <c r="C11">
        <v>22413.848999999998</v>
      </c>
      <c r="D11">
        <v>19658.975999999999</v>
      </c>
      <c r="E11">
        <v>21023.863000000001</v>
      </c>
      <c r="F11">
        <v>24832.16</v>
      </c>
      <c r="G11">
        <v>29612.807000000001</v>
      </c>
      <c r="H11">
        <v>31684.855</v>
      </c>
      <c r="I11">
        <v>38865.351000000002</v>
      </c>
      <c r="J11">
        <v>40222.218999999997</v>
      </c>
      <c r="K11">
        <v>42567.733</v>
      </c>
      <c r="L11">
        <v>50815.754999999997</v>
      </c>
      <c r="M11">
        <v>52198.747000000003</v>
      </c>
      <c r="N11">
        <v>58740.665000000001</v>
      </c>
      <c r="O11">
        <v>68086.73</v>
      </c>
      <c r="P11">
        <v>79462.03</v>
      </c>
      <c r="Q11">
        <v>84133.881999999998</v>
      </c>
      <c r="R11">
        <v>84746.209000000003</v>
      </c>
      <c r="S11">
        <v>79600.606</v>
      </c>
      <c r="T11">
        <v>79576.422999999995</v>
      </c>
      <c r="U11">
        <v>86707.577999999994</v>
      </c>
      <c r="V11">
        <v>93268.062000000005</v>
      </c>
      <c r="W11">
        <v>98039.827999999994</v>
      </c>
    </row>
    <row r="12" spans="1:23" x14ac:dyDescent="0.3">
      <c r="A12" s="12" t="s">
        <v>84</v>
      </c>
      <c r="B12">
        <v>75549.243000000002</v>
      </c>
      <c r="C12">
        <v>79502.857000000004</v>
      </c>
      <c r="D12">
        <v>81337.86</v>
      </c>
      <c r="E12">
        <v>86137.346000000005</v>
      </c>
      <c r="F12">
        <v>89736.407999999996</v>
      </c>
      <c r="G12">
        <v>93324.553</v>
      </c>
      <c r="H12">
        <v>92078.716</v>
      </c>
      <c r="I12">
        <v>94524.017999999996</v>
      </c>
      <c r="J12">
        <v>97200.135999999999</v>
      </c>
      <c r="K12">
        <v>100547.16499999999</v>
      </c>
      <c r="L12">
        <v>101284.50199999999</v>
      </c>
      <c r="M12">
        <v>104272.1</v>
      </c>
      <c r="N12">
        <v>107390.25599999999</v>
      </c>
      <c r="O12">
        <v>110258.179</v>
      </c>
      <c r="P12">
        <v>112473.03</v>
      </c>
      <c r="Q12">
        <v>115263.66800000001</v>
      </c>
      <c r="R12">
        <v>118408.72199999999</v>
      </c>
      <c r="S12">
        <v>118280.624</v>
      </c>
      <c r="T12">
        <v>126775.257</v>
      </c>
      <c r="U12">
        <v>132497.76300000001</v>
      </c>
      <c r="V12">
        <v>136740.59700000001</v>
      </c>
      <c r="W12">
        <v>137335.04699999999</v>
      </c>
    </row>
    <row r="13" spans="1:23" x14ac:dyDescent="0.3">
      <c r="A13" s="12" t="s">
        <v>85</v>
      </c>
      <c r="B13">
        <v>26141.605</v>
      </c>
      <c r="C13">
        <v>27993.473000000002</v>
      </c>
      <c r="D13">
        <v>29420.565999999999</v>
      </c>
      <c r="E13">
        <v>29985.760999999999</v>
      </c>
      <c r="F13">
        <v>32327.546999999999</v>
      </c>
      <c r="G13">
        <v>33253.315999999999</v>
      </c>
      <c r="H13">
        <v>33514.010999999999</v>
      </c>
      <c r="I13">
        <v>31679.454000000002</v>
      </c>
      <c r="J13">
        <v>32878.94</v>
      </c>
      <c r="K13">
        <v>35002.773000000001</v>
      </c>
      <c r="L13">
        <v>33324.762999999999</v>
      </c>
      <c r="M13">
        <v>32929.171999999999</v>
      </c>
      <c r="N13">
        <v>35441.47</v>
      </c>
      <c r="O13">
        <v>38083.987000000001</v>
      </c>
      <c r="P13">
        <v>38154.925999999999</v>
      </c>
      <c r="Q13">
        <v>37903.851999999999</v>
      </c>
      <c r="R13">
        <v>38933.06</v>
      </c>
      <c r="S13">
        <v>41869.991000000002</v>
      </c>
      <c r="T13">
        <v>43273.3</v>
      </c>
      <c r="U13">
        <v>43715.999000000003</v>
      </c>
      <c r="V13">
        <v>45065.652000000002</v>
      </c>
      <c r="W13">
        <v>52174.415999999997</v>
      </c>
    </row>
    <row r="14" spans="1:23" x14ac:dyDescent="0.3">
      <c r="A14" s="12" t="s">
        <v>86</v>
      </c>
      <c r="B14">
        <v>6986.4040000000005</v>
      </c>
      <c r="C14">
        <v>7056.1490000000003</v>
      </c>
      <c r="D14">
        <v>7374.509</v>
      </c>
      <c r="E14">
        <v>7886.299</v>
      </c>
      <c r="F14">
        <v>8085.01</v>
      </c>
      <c r="G14">
        <v>8427.9159999999993</v>
      </c>
      <c r="H14">
        <v>7895.2439999999997</v>
      </c>
      <c r="I14">
        <v>8321.5190000000002</v>
      </c>
      <c r="J14">
        <v>8839.3670000000002</v>
      </c>
      <c r="K14">
        <v>9351.6790000000001</v>
      </c>
      <c r="L14">
        <v>8945.1489999999994</v>
      </c>
      <c r="M14">
        <v>9206.5779999999995</v>
      </c>
      <c r="N14">
        <v>9763.24</v>
      </c>
      <c r="O14">
        <v>10650.45</v>
      </c>
      <c r="P14">
        <v>11086.448</v>
      </c>
      <c r="Q14">
        <v>11416.668</v>
      </c>
      <c r="R14">
        <v>11902.276</v>
      </c>
      <c r="S14">
        <v>11776.428</v>
      </c>
      <c r="T14">
        <v>13273.509</v>
      </c>
      <c r="U14">
        <v>14738.808000000001</v>
      </c>
      <c r="V14">
        <v>14733.993</v>
      </c>
      <c r="W14">
        <v>15329.698</v>
      </c>
    </row>
    <row r="15" spans="1:23" x14ac:dyDescent="0.3">
      <c r="A15" s="12" t="s">
        <v>87</v>
      </c>
      <c r="B15">
        <v>41236.811000000002</v>
      </c>
      <c r="C15">
        <v>42193.008999999998</v>
      </c>
      <c r="D15">
        <v>43344.072999999997</v>
      </c>
      <c r="E15">
        <v>52557.440999999999</v>
      </c>
      <c r="F15">
        <v>59128.915000000001</v>
      </c>
      <c r="G15">
        <v>58763.584000000003</v>
      </c>
      <c r="H15">
        <v>55890.131000000001</v>
      </c>
      <c r="I15">
        <v>58130.400000000001</v>
      </c>
      <c r="J15">
        <v>62186.758000000002</v>
      </c>
      <c r="K15">
        <v>63276.81</v>
      </c>
      <c r="L15">
        <v>65670.816999999995</v>
      </c>
      <c r="M15">
        <v>65321.271000000001</v>
      </c>
      <c r="N15">
        <v>65308.237999999998</v>
      </c>
      <c r="O15">
        <v>67769.808999999994</v>
      </c>
      <c r="P15">
        <v>72995.088000000003</v>
      </c>
      <c r="Q15">
        <v>77931.232999999993</v>
      </c>
      <c r="R15">
        <v>80068.096000000005</v>
      </c>
      <c r="S15">
        <v>77433.097999999998</v>
      </c>
      <c r="T15">
        <v>56726.343000000001</v>
      </c>
      <c r="U15">
        <v>17686.526000000002</v>
      </c>
      <c r="V15">
        <v>16304.484</v>
      </c>
      <c r="W15">
        <v>15370.741</v>
      </c>
    </row>
    <row r="16" spans="1:23" x14ac:dyDescent="0.3">
      <c r="A16" s="12" t="s">
        <v>88</v>
      </c>
      <c r="B16">
        <v>50805.66</v>
      </c>
      <c r="C16">
        <v>51434.637000000002</v>
      </c>
      <c r="D16">
        <v>51906.659</v>
      </c>
      <c r="E16">
        <v>51635.745999999999</v>
      </c>
      <c r="F16">
        <v>52454.326000000001</v>
      </c>
      <c r="G16">
        <v>54446.684000000001</v>
      </c>
      <c r="H16">
        <v>53794.351999999999</v>
      </c>
      <c r="I16">
        <v>54287.925000000003</v>
      </c>
      <c r="J16">
        <v>54235.603999999999</v>
      </c>
      <c r="K16">
        <v>57551.356</v>
      </c>
      <c r="L16">
        <v>55787.97</v>
      </c>
      <c r="M16">
        <v>53838.141000000003</v>
      </c>
      <c r="N16">
        <v>54870.262999999999</v>
      </c>
      <c r="O16">
        <v>53699.512999999999</v>
      </c>
      <c r="P16">
        <v>55081.404999999999</v>
      </c>
      <c r="Q16">
        <v>55695.883000000002</v>
      </c>
      <c r="R16">
        <v>56310.22</v>
      </c>
      <c r="S16">
        <v>52413.637000000002</v>
      </c>
      <c r="T16">
        <v>53532.423000000003</v>
      </c>
      <c r="U16">
        <v>56335.686000000002</v>
      </c>
      <c r="V16">
        <v>57894.258000000002</v>
      </c>
      <c r="W16">
        <v>58882.864999999998</v>
      </c>
    </row>
    <row r="17" spans="1:23" x14ac:dyDescent="0.3">
      <c r="A17" s="12" t="s">
        <v>89</v>
      </c>
      <c r="B17">
        <v>20241.829000000002</v>
      </c>
      <c r="C17">
        <v>20044.191999999999</v>
      </c>
      <c r="D17">
        <v>20203.759999999998</v>
      </c>
      <c r="E17">
        <v>22398.557000000001</v>
      </c>
      <c r="F17">
        <v>23429.66</v>
      </c>
      <c r="G17">
        <v>24149.669000000002</v>
      </c>
      <c r="H17">
        <v>24273.436000000002</v>
      </c>
      <c r="I17">
        <v>25443.19</v>
      </c>
      <c r="J17">
        <v>25265.064999999999</v>
      </c>
      <c r="K17">
        <v>25305.79</v>
      </c>
      <c r="L17">
        <v>26721.916000000001</v>
      </c>
      <c r="M17">
        <v>27007.697</v>
      </c>
      <c r="N17">
        <v>26115.159</v>
      </c>
      <c r="O17">
        <v>26339.030999999999</v>
      </c>
      <c r="P17">
        <v>27915.414000000001</v>
      </c>
      <c r="Q17">
        <v>29576.131000000001</v>
      </c>
      <c r="R17">
        <v>30964.675999999999</v>
      </c>
      <c r="S17">
        <v>29870.056</v>
      </c>
      <c r="T17">
        <v>32386.571</v>
      </c>
      <c r="U17">
        <v>31360.379000000001</v>
      </c>
      <c r="V17">
        <v>31717.800999999999</v>
      </c>
      <c r="W17">
        <v>32610.984</v>
      </c>
    </row>
    <row r="18" spans="1:23" x14ac:dyDescent="0.3">
      <c r="A18" s="12" t="s">
        <v>90</v>
      </c>
      <c r="B18">
        <v>9787.09</v>
      </c>
      <c r="C18">
        <v>10028.870999999999</v>
      </c>
      <c r="D18">
        <v>10248.485000000001</v>
      </c>
      <c r="E18">
        <v>10657.145</v>
      </c>
      <c r="F18">
        <v>10941.082</v>
      </c>
      <c r="G18">
        <v>11003.994000000001</v>
      </c>
      <c r="H18">
        <v>10702.146000000001</v>
      </c>
      <c r="I18">
        <v>10980.5</v>
      </c>
      <c r="J18">
        <v>11055.369000000001</v>
      </c>
      <c r="K18">
        <v>11567.263999999999</v>
      </c>
      <c r="L18">
        <v>12092.620999999999</v>
      </c>
      <c r="M18">
        <v>12184.05</v>
      </c>
      <c r="N18">
        <v>12828.322</v>
      </c>
      <c r="O18">
        <v>13415.398999999999</v>
      </c>
      <c r="P18">
        <v>13853.034</v>
      </c>
      <c r="Q18">
        <v>14079.300999999999</v>
      </c>
      <c r="R18">
        <v>14030.6</v>
      </c>
      <c r="S18">
        <v>8269.9940000000006</v>
      </c>
      <c r="T18">
        <v>10662.484</v>
      </c>
      <c r="U18">
        <v>15525.727000000001</v>
      </c>
      <c r="V18">
        <v>16343.17</v>
      </c>
      <c r="W18">
        <v>16893.694</v>
      </c>
    </row>
    <row r="19" spans="1:23" x14ac:dyDescent="0.3">
      <c r="A19" s="12" t="s">
        <v>91</v>
      </c>
      <c r="B19">
        <v>31445.172999999999</v>
      </c>
      <c r="C19">
        <v>31471.897000000001</v>
      </c>
      <c r="D19">
        <v>32606.741999999998</v>
      </c>
      <c r="E19">
        <v>34003.951000000001</v>
      </c>
      <c r="F19">
        <v>37423.43</v>
      </c>
      <c r="G19">
        <v>34655.150999999998</v>
      </c>
      <c r="H19">
        <v>29156.075000000001</v>
      </c>
      <c r="I19">
        <v>26561.111000000001</v>
      </c>
      <c r="J19">
        <v>25092.29</v>
      </c>
      <c r="K19">
        <v>28288.286</v>
      </c>
      <c r="L19">
        <v>29605.833999999999</v>
      </c>
      <c r="M19">
        <v>28278.488000000001</v>
      </c>
      <c r="N19">
        <v>30066.066999999999</v>
      </c>
      <c r="O19">
        <v>29448.798999999999</v>
      </c>
      <c r="P19">
        <v>30433.441999999999</v>
      </c>
      <c r="Q19">
        <v>27709.935000000001</v>
      </c>
      <c r="R19">
        <v>27143.566999999999</v>
      </c>
      <c r="S19">
        <v>16684.150000000001</v>
      </c>
      <c r="T19">
        <v>22371.071</v>
      </c>
      <c r="U19">
        <v>23122.895</v>
      </c>
      <c r="V19">
        <v>20451.239000000001</v>
      </c>
      <c r="W19">
        <v>24201.816999999999</v>
      </c>
    </row>
    <row r="20" spans="1:23" x14ac:dyDescent="0.3">
      <c r="A20" s="12" t="s">
        <v>92</v>
      </c>
      <c r="B20">
        <v>18717.47</v>
      </c>
      <c r="C20">
        <v>19222.516</v>
      </c>
      <c r="D20">
        <v>20065.737000000001</v>
      </c>
      <c r="E20">
        <v>20878.046999999999</v>
      </c>
      <c r="F20">
        <v>21577.976999999999</v>
      </c>
      <c r="G20">
        <v>21523.4</v>
      </c>
      <c r="H20">
        <v>21224.888999999999</v>
      </c>
      <c r="I20">
        <v>21641.631000000001</v>
      </c>
      <c r="J20">
        <v>22790.257000000001</v>
      </c>
      <c r="K20">
        <v>23258.361000000001</v>
      </c>
      <c r="L20">
        <v>23367.155999999999</v>
      </c>
      <c r="M20">
        <v>22271.748</v>
      </c>
      <c r="N20">
        <v>23432.737000000001</v>
      </c>
      <c r="O20">
        <v>24204.210999999999</v>
      </c>
      <c r="P20">
        <v>23851.954000000002</v>
      </c>
      <c r="Q20">
        <v>24699.546999999999</v>
      </c>
      <c r="R20">
        <v>24964.768</v>
      </c>
      <c r="S20">
        <v>20861.325000000001</v>
      </c>
      <c r="T20">
        <v>22809.191999999999</v>
      </c>
      <c r="U20">
        <v>23792.363000000001</v>
      </c>
      <c r="V20">
        <v>23529.251</v>
      </c>
      <c r="W20">
        <v>24880.013999999999</v>
      </c>
    </row>
    <row r="21" spans="1:23" x14ac:dyDescent="0.3">
      <c r="A21" s="12" t="s">
        <v>93</v>
      </c>
      <c r="B21">
        <v>23118.771000000001</v>
      </c>
      <c r="C21">
        <v>23528.913</v>
      </c>
      <c r="D21">
        <v>24204.421999999999</v>
      </c>
      <c r="E21">
        <v>24115.731</v>
      </c>
      <c r="F21">
        <v>23909.41</v>
      </c>
      <c r="G21">
        <v>25563.024000000001</v>
      </c>
      <c r="H21">
        <v>26356.701000000001</v>
      </c>
      <c r="I21">
        <v>27786.932000000001</v>
      </c>
      <c r="J21">
        <v>29044.825000000001</v>
      </c>
      <c r="K21">
        <v>31056.012999999999</v>
      </c>
      <c r="L21">
        <v>30952.929</v>
      </c>
      <c r="M21">
        <v>31432.469000000001</v>
      </c>
      <c r="N21">
        <v>31139.361000000001</v>
      </c>
      <c r="O21">
        <v>30823.016</v>
      </c>
      <c r="P21">
        <v>31091.510999999999</v>
      </c>
      <c r="Q21">
        <v>30590.383000000002</v>
      </c>
      <c r="R21">
        <v>32024.281999999999</v>
      </c>
      <c r="S21">
        <v>34720.438000000002</v>
      </c>
      <c r="T21">
        <v>32688.416000000001</v>
      </c>
      <c r="U21">
        <v>33345.985999999997</v>
      </c>
      <c r="V21">
        <v>34871.123</v>
      </c>
      <c r="W21">
        <v>34998.828999999998</v>
      </c>
    </row>
    <row r="22" spans="1:23" x14ac:dyDescent="0.3">
      <c r="A22" s="12" t="s">
        <v>69</v>
      </c>
      <c r="B22">
        <v>1289662.122</v>
      </c>
      <c r="C22">
        <v>1335507.8389999999</v>
      </c>
      <c r="D22">
        <v>1368861.9909999999</v>
      </c>
      <c r="E22">
        <v>1469583.898</v>
      </c>
      <c r="F22">
        <v>1532409.5149999999</v>
      </c>
      <c r="G22">
        <v>1531655.04</v>
      </c>
      <c r="H22">
        <v>1411038.652</v>
      </c>
      <c r="I22">
        <v>1509564.2709999999</v>
      </c>
      <c r="J22">
        <v>1558834.9950000001</v>
      </c>
      <c r="K22">
        <v>1621930.2709999999</v>
      </c>
      <c r="L22">
        <v>1611568.7879999999</v>
      </c>
      <c r="M22">
        <v>1666974.7009999999</v>
      </c>
      <c r="N22">
        <v>1728163.9920000001</v>
      </c>
      <c r="O22">
        <v>1743960.8829999999</v>
      </c>
      <c r="P22">
        <v>1809343.5560000001</v>
      </c>
      <c r="Q22">
        <v>1909026.4350000001</v>
      </c>
      <c r="R22">
        <v>1918825.0060000001</v>
      </c>
      <c r="S22">
        <v>1743165.6229999999</v>
      </c>
      <c r="T22">
        <v>1865875.274</v>
      </c>
      <c r="U22">
        <v>1928658.429</v>
      </c>
      <c r="V22">
        <v>1991519.7</v>
      </c>
      <c r="W22">
        <v>2059995.5649999999</v>
      </c>
    </row>
    <row r="23" spans="1:23" x14ac:dyDescent="0.3">
      <c r="A23" s="1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5ED6-70F7-4626-8946-C13D27779F1A}">
  <dimension ref="A1:G26"/>
  <sheetViews>
    <sheetView workbookViewId="0">
      <selection activeCell="E36" sqref="E36"/>
    </sheetView>
  </sheetViews>
  <sheetFormatPr baseColWidth="10" defaultColWidth="11.44140625" defaultRowHeight="14.4" x14ac:dyDescent="0.3"/>
  <cols>
    <col min="1" max="1" width="20" bestFit="1" customWidth="1"/>
    <col min="2" max="2" width="21.88671875" bestFit="1" customWidth="1"/>
    <col min="3" max="3" width="19.33203125" bestFit="1" customWidth="1"/>
    <col min="4" max="4" width="21.5546875" bestFit="1" customWidth="1"/>
    <col min="5" max="5" width="20.6640625" bestFit="1" customWidth="1"/>
    <col min="6" max="6" width="25.6640625" bestFit="1" customWidth="1"/>
    <col min="7" max="7" width="26.6640625" bestFit="1" customWidth="1"/>
    <col min="8" max="9" width="12.33203125" bestFit="1" customWidth="1"/>
  </cols>
  <sheetData>
    <row r="1" spans="1:7" x14ac:dyDescent="0.3">
      <c r="A1" s="13" t="s">
        <v>94</v>
      </c>
      <c r="B1" t="s">
        <v>95</v>
      </c>
    </row>
    <row r="3" spans="1:7" x14ac:dyDescent="0.3">
      <c r="A3" s="13" t="s">
        <v>96</v>
      </c>
      <c r="B3" s="13" t="s">
        <v>97</v>
      </c>
    </row>
    <row r="4" spans="1:7" x14ac:dyDescent="0.3">
      <c r="A4" s="13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</row>
    <row r="5" spans="1:7" x14ac:dyDescent="0.3">
      <c r="A5" s="14" t="s">
        <v>43</v>
      </c>
      <c r="B5" s="10">
        <v>0.16480042747196386</v>
      </c>
      <c r="C5" s="10">
        <v>7.5629733816435993E-2</v>
      </c>
      <c r="D5" s="10">
        <v>7.9238557337423299E-2</v>
      </c>
      <c r="E5" s="10">
        <v>5.8580648149019608E-2</v>
      </c>
      <c r="F5" s="10">
        <v>7.3016225252834105E-2</v>
      </c>
      <c r="G5" s="10">
        <v>4.6484836591951954E-2</v>
      </c>
    </row>
    <row r="6" spans="1:7" x14ac:dyDescent="0.3">
      <c r="A6" s="14" t="s">
        <v>44</v>
      </c>
      <c r="B6" s="10">
        <v>0.16841060713534306</v>
      </c>
      <c r="C6" s="10">
        <v>7.8449126197903216E-2</v>
      </c>
      <c r="D6" s="10">
        <v>8.122861119349821E-2</v>
      </c>
      <c r="E6" s="10">
        <v>5.953005641623943E-2</v>
      </c>
      <c r="F6" s="10">
        <v>7.1139786099001706E-2</v>
      </c>
      <c r="G6" s="10">
        <v>4.5468309677214859E-2</v>
      </c>
    </row>
    <row r="7" spans="1:7" x14ac:dyDescent="0.3">
      <c r="A7" s="14" t="s">
        <v>45</v>
      </c>
      <c r="B7" s="10">
        <v>0.16969942224073339</v>
      </c>
      <c r="C7" s="10">
        <v>7.7945248462962108E-2</v>
      </c>
      <c r="D7" s="10">
        <v>8.0061609366433195E-2</v>
      </c>
      <c r="E7" s="10">
        <v>5.942005880416034E-2</v>
      </c>
      <c r="F7" s="10">
        <v>7.0361250172224277E-2</v>
      </c>
      <c r="G7" s="10">
        <v>4.5965893138748132E-2</v>
      </c>
    </row>
    <row r="8" spans="1:7" x14ac:dyDescent="0.3">
      <c r="A8" s="14" t="s">
        <v>46</v>
      </c>
      <c r="B8" s="10">
        <v>0.17056334812944446</v>
      </c>
      <c r="C8" s="10">
        <v>7.6179840533337137E-2</v>
      </c>
      <c r="D8" s="10">
        <v>8.3179443627790756E-2</v>
      </c>
      <c r="E8" s="10">
        <v>5.8613425281283264E-2</v>
      </c>
      <c r="F8" s="10">
        <v>6.6787635693052488E-2</v>
      </c>
      <c r="G8" s="10">
        <v>4.4597074783681384E-2</v>
      </c>
    </row>
    <row r="9" spans="1:7" x14ac:dyDescent="0.3">
      <c r="A9" s="14" t="s">
        <v>47</v>
      </c>
      <c r="B9" s="10">
        <v>0.17102105829720068</v>
      </c>
      <c r="C9" s="10">
        <v>7.5874778159413875E-2</v>
      </c>
      <c r="D9" s="10">
        <v>8.9465962367115681E-2</v>
      </c>
      <c r="E9" s="10">
        <v>5.8559025587882757E-2</v>
      </c>
      <c r="F9" s="10">
        <v>6.5121884863785909E-2</v>
      </c>
      <c r="G9" s="10">
        <v>4.564216569746371E-2</v>
      </c>
    </row>
    <row r="10" spans="1:7" x14ac:dyDescent="0.3">
      <c r="A10" s="14" t="s">
        <v>48</v>
      </c>
      <c r="B10" s="10">
        <v>0.17274043181420276</v>
      </c>
      <c r="C10" s="10">
        <v>7.5090800471625779E-2</v>
      </c>
      <c r="D10" s="10">
        <v>9.3742266535420407E-2</v>
      </c>
      <c r="E10" s="10">
        <v>6.0930529762106223E-2</v>
      </c>
      <c r="F10" s="10">
        <v>6.8004462022989196E-2</v>
      </c>
      <c r="G10" s="10">
        <v>4.3862712716304583E-2</v>
      </c>
    </row>
    <row r="11" spans="1:7" x14ac:dyDescent="0.3">
      <c r="A11" s="14" t="s">
        <v>49</v>
      </c>
      <c r="B11" s="10">
        <v>0.1588199654788762</v>
      </c>
      <c r="C11" s="10">
        <v>7.2756666059066957E-2</v>
      </c>
      <c r="D11" s="10">
        <v>0.10119398486895595</v>
      </c>
      <c r="E11" s="10">
        <v>6.5255984213818688E-2</v>
      </c>
      <c r="F11" s="10">
        <v>7.4005406479821928E-2</v>
      </c>
      <c r="G11" s="10">
        <v>4.3289466176862745E-2</v>
      </c>
    </row>
    <row r="12" spans="1:7" x14ac:dyDescent="0.3">
      <c r="A12" s="14" t="s">
        <v>50</v>
      </c>
      <c r="B12" s="10">
        <v>0.16853448037125673</v>
      </c>
      <c r="C12" s="10">
        <v>7.5045659980382512E-2</v>
      </c>
      <c r="D12" s="10">
        <v>9.9842635318970141E-2</v>
      </c>
      <c r="E12" s="10">
        <v>6.2616756249393238E-2</v>
      </c>
      <c r="F12" s="10">
        <v>7.1224557354404944E-2</v>
      </c>
      <c r="G12" s="10">
        <v>3.9205513231175305E-2</v>
      </c>
    </row>
    <row r="13" spans="1:7" x14ac:dyDescent="0.3">
      <c r="A13" s="14" t="s">
        <v>51</v>
      </c>
      <c r="B13" s="10">
        <v>0.17517768838644787</v>
      </c>
      <c r="C13" s="10">
        <v>7.7181777023167225E-2</v>
      </c>
      <c r="D13" s="10">
        <v>0.10169347975152429</v>
      </c>
      <c r="E13" s="10">
        <v>6.2354345592555802E-2</v>
      </c>
      <c r="F13" s="10">
        <v>6.9632446248744873E-2</v>
      </c>
      <c r="G13" s="10">
        <v>3.7808951036539952E-2</v>
      </c>
    </row>
    <row r="14" spans="1:7" x14ac:dyDescent="0.3">
      <c r="A14" s="14" t="s">
        <v>52</v>
      </c>
      <c r="B14" s="10">
        <v>0.17873264355641344</v>
      </c>
      <c r="C14" s="10">
        <v>7.9684716606414463E-2</v>
      </c>
      <c r="D14" s="10">
        <v>0.10214155439484982</v>
      </c>
      <c r="E14" s="10">
        <v>6.1992285857028678E-2</v>
      </c>
      <c r="F14" s="10">
        <v>7.023308032210715E-2</v>
      </c>
      <c r="G14" s="10">
        <v>3.8912838688858781E-2</v>
      </c>
    </row>
    <row r="15" spans="1:7" x14ac:dyDescent="0.3">
      <c r="A15" s="14" t="s">
        <v>53</v>
      </c>
      <c r="B15" s="10">
        <v>0.17681494958315114</v>
      </c>
      <c r="C15" s="10">
        <v>8.1466737862882971E-2</v>
      </c>
      <c r="D15" s="10">
        <v>0.1084722124811963</v>
      </c>
      <c r="E15" s="10">
        <v>6.2848388945095396E-2</v>
      </c>
      <c r="F15" s="10">
        <v>7.0405195139582211E-2</v>
      </c>
      <c r="G15" s="10">
        <v>4.0374082375191793E-2</v>
      </c>
    </row>
    <row r="16" spans="1:7" x14ac:dyDescent="0.3">
      <c r="A16" s="14" t="s">
        <v>54</v>
      </c>
      <c r="B16" s="10">
        <v>0.18004796522703798</v>
      </c>
      <c r="C16" s="10">
        <v>8.3366420568130761E-2</v>
      </c>
      <c r="D16" s="10">
        <v>0.10604522965702766</v>
      </c>
      <c r="E16" s="10">
        <v>6.255169915743071E-2</v>
      </c>
      <c r="F16" s="10">
        <v>6.7354535694300249E-2</v>
      </c>
      <c r="G16" s="10">
        <v>3.7633616132486225E-2</v>
      </c>
    </row>
    <row r="17" spans="1:7" x14ac:dyDescent="0.3">
      <c r="A17" s="14" t="s">
        <v>55</v>
      </c>
      <c r="B17" s="10">
        <v>0.17614058816705166</v>
      </c>
      <c r="C17" s="10">
        <v>8.5121952361567305E-2</v>
      </c>
      <c r="D17" s="10">
        <v>0.10970956337342781</v>
      </c>
      <c r="E17" s="10">
        <v>6.2141241512454794E-2</v>
      </c>
      <c r="F17" s="10">
        <v>6.4880869824303106E-2</v>
      </c>
      <c r="G17" s="10">
        <v>3.8380111093068069E-2</v>
      </c>
    </row>
    <row r="18" spans="1:7" x14ac:dyDescent="0.3">
      <c r="A18" s="14" t="s">
        <v>56</v>
      </c>
      <c r="B18" s="10">
        <v>0.17657291227213839</v>
      </c>
      <c r="C18" s="10">
        <v>8.6173215503251632E-2</v>
      </c>
      <c r="D18" s="10">
        <v>0.11966175447755154</v>
      </c>
      <c r="E18" s="10">
        <v>6.3222850968039757E-2</v>
      </c>
      <c r="F18" s="10">
        <v>6.3568834072294966E-2</v>
      </c>
      <c r="G18" s="10">
        <v>3.8457519118563856E-2</v>
      </c>
    </row>
    <row r="19" spans="1:7" x14ac:dyDescent="0.3">
      <c r="A19" s="14" t="s">
        <v>57</v>
      </c>
      <c r="B19" s="10">
        <v>0.17214077225254171</v>
      </c>
      <c r="C19" s="10">
        <v>8.8526394818077322E-2</v>
      </c>
      <c r="D19" s="10">
        <v>0.12560914385017991</v>
      </c>
      <c r="E19" s="10">
        <v>6.2162340384182953E-2</v>
      </c>
      <c r="F19" s="10">
        <v>6.3055095104337378E-2</v>
      </c>
      <c r="G19" s="10">
        <v>3.7659199533468808E-2</v>
      </c>
    </row>
    <row r="20" spans="1:7" x14ac:dyDescent="0.3">
      <c r="A20" s="14" t="s">
        <v>58</v>
      </c>
      <c r="B20" s="10">
        <v>0.16569847394491422</v>
      </c>
      <c r="C20" s="10">
        <v>8.6498914825137024E-2</v>
      </c>
      <c r="D20" s="10">
        <v>0.12526199460407156</v>
      </c>
      <c r="E20" s="10">
        <v>6.0378246150373502E-2</v>
      </c>
      <c r="F20" s="10">
        <v>6.0691876694730001E-2</v>
      </c>
      <c r="G20" s="10">
        <v>3.482863399950771E-2</v>
      </c>
    </row>
    <row r="21" spans="1:7" x14ac:dyDescent="0.3">
      <c r="A21" s="14" t="s">
        <v>59</v>
      </c>
      <c r="B21" s="10">
        <v>0.16158424089247042</v>
      </c>
      <c r="C21" s="10">
        <v>8.5994624566613553E-2</v>
      </c>
      <c r="D21" s="10">
        <v>0.1276102141854201</v>
      </c>
      <c r="E21" s="10">
        <v>6.17089737885144E-2</v>
      </c>
      <c r="F21" s="10">
        <v>6.2173036950718158E-2</v>
      </c>
      <c r="G21" s="10">
        <v>3.4468455848339095E-2</v>
      </c>
    </row>
    <row r="22" spans="1:7" x14ac:dyDescent="0.3">
      <c r="A22" s="14" t="s">
        <v>60</v>
      </c>
      <c r="B22" s="10">
        <v>0.16586151091163415</v>
      </c>
      <c r="C22" s="10">
        <v>8.3049565738252284E-2</v>
      </c>
      <c r="D22" s="10">
        <v>0.13704825625740327</v>
      </c>
      <c r="E22" s="10">
        <v>6.7853921876016715E-2</v>
      </c>
      <c r="F22" s="10">
        <v>6.7121637471621948E-2</v>
      </c>
      <c r="G22" s="10">
        <v>2.6282912188889587E-2</v>
      </c>
    </row>
    <row r="23" spans="1:7" x14ac:dyDescent="0.3">
      <c r="A23" s="14" t="s">
        <v>61</v>
      </c>
      <c r="B23" s="10">
        <v>0.16693084063024033</v>
      </c>
      <c r="C23" s="10">
        <v>8.818150188960594E-2</v>
      </c>
      <c r="D23" s="10">
        <v>0.1198301532345618</v>
      </c>
      <c r="E23" s="10">
        <v>6.7944121864171286E-2</v>
      </c>
      <c r="F23" s="10">
        <v>6.3566633661280833E-2</v>
      </c>
      <c r="G23" s="10">
        <v>2.9928445795996975E-2</v>
      </c>
    </row>
    <row r="24" spans="1:7" x14ac:dyDescent="0.3">
      <c r="A24" s="14" t="s">
        <v>62</v>
      </c>
      <c r="B24" s="10">
        <v>0.17283711930932069</v>
      </c>
      <c r="C24" s="10">
        <v>9.3511705488209071E-2</v>
      </c>
      <c r="D24" s="10">
        <v>0.10338513963998547</v>
      </c>
      <c r="E24" s="10">
        <v>6.8699444654230168E-2</v>
      </c>
      <c r="F24" s="10">
        <v>6.2759713788594337E-2</v>
      </c>
      <c r="G24" s="10">
        <v>3.2375346541987399E-2</v>
      </c>
    </row>
    <row r="25" spans="1:7" x14ac:dyDescent="0.3">
      <c r="A25" s="14" t="s">
        <v>63</v>
      </c>
      <c r="B25" s="10">
        <v>0.17514774872676378</v>
      </c>
      <c r="C25" s="10">
        <v>9.3927329466035422E-2</v>
      </c>
      <c r="D25" s="10">
        <v>0.10470625422384724</v>
      </c>
      <c r="E25" s="10">
        <v>6.8661433276306541E-2</v>
      </c>
      <c r="F25" s="10">
        <v>6.2506628480752668E-2</v>
      </c>
      <c r="G25" s="10">
        <v>3.0290265268277286E-2</v>
      </c>
    </row>
    <row r="26" spans="1:7" x14ac:dyDescent="0.3">
      <c r="A26" s="14" t="s">
        <v>64</v>
      </c>
      <c r="B26" s="10">
        <v>0.17332824015084713</v>
      </c>
      <c r="C26" s="10">
        <v>9.408242585221295E-2</v>
      </c>
      <c r="D26" s="10">
        <v>0.10839949211249879</v>
      </c>
      <c r="E26" s="10">
        <v>6.6667642073297367E-2</v>
      </c>
      <c r="F26" s="10">
        <v>6.1404344819548193E-2</v>
      </c>
      <c r="G26" s="10">
        <v>3.202702283487683E-2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1972-37F6-4B1D-9098-CE4BB4034306}">
  <dimension ref="A1:H23"/>
  <sheetViews>
    <sheetView topLeftCell="A2" workbookViewId="0">
      <selection activeCell="G1" sqref="A1:G23"/>
    </sheetView>
  </sheetViews>
  <sheetFormatPr baseColWidth="10" defaultColWidth="11.44140625" defaultRowHeight="14.4" x14ac:dyDescent="0.3"/>
  <sheetData>
    <row r="1" spans="1:7" x14ac:dyDescent="0.3">
      <c r="A1" t="s">
        <v>105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  <row r="2" spans="1:7" x14ac:dyDescent="0.3">
      <c r="A2" s="14" t="s">
        <v>43</v>
      </c>
      <c r="B2" s="10">
        <v>0.16480042747196386</v>
      </c>
      <c r="C2" s="10">
        <v>7.5629733816435993E-2</v>
      </c>
      <c r="D2" s="10">
        <v>7.9238557337423299E-2</v>
      </c>
      <c r="E2" s="10">
        <v>5.8580648149019608E-2</v>
      </c>
      <c r="F2" s="10">
        <v>7.3016225252834105E-2</v>
      </c>
      <c r="G2" s="10">
        <v>4.6484836591951954E-2</v>
      </c>
    </row>
    <row r="3" spans="1:7" x14ac:dyDescent="0.3">
      <c r="A3" s="14" t="s">
        <v>44</v>
      </c>
      <c r="B3" s="10">
        <v>0.16841060713534306</v>
      </c>
      <c r="C3" s="10">
        <v>7.8449126197903216E-2</v>
      </c>
      <c r="D3" s="10">
        <v>8.122861119349821E-2</v>
      </c>
      <c r="E3" s="10">
        <v>5.953005641623943E-2</v>
      </c>
      <c r="F3" s="10">
        <v>7.1139786099001706E-2</v>
      </c>
      <c r="G3" s="10">
        <v>4.5468309677214859E-2</v>
      </c>
    </row>
    <row r="4" spans="1:7" x14ac:dyDescent="0.3">
      <c r="A4" s="14" t="s">
        <v>45</v>
      </c>
      <c r="B4" s="10">
        <v>0.16969942224073339</v>
      </c>
      <c r="C4" s="10">
        <v>7.7945248462962108E-2</v>
      </c>
      <c r="D4" s="10">
        <v>8.0061609366433195E-2</v>
      </c>
      <c r="E4" s="10">
        <v>5.942005880416034E-2</v>
      </c>
      <c r="F4" s="10">
        <v>7.0361250172224277E-2</v>
      </c>
      <c r="G4" s="10">
        <v>4.5965893138748132E-2</v>
      </c>
    </row>
    <row r="5" spans="1:7" x14ac:dyDescent="0.3">
      <c r="A5" s="14" t="s">
        <v>46</v>
      </c>
      <c r="B5" s="10">
        <v>0.17056334812944446</v>
      </c>
      <c r="C5" s="10">
        <v>7.6179840533337137E-2</v>
      </c>
      <c r="D5" s="10">
        <v>8.3179443627790756E-2</v>
      </c>
      <c r="E5" s="10">
        <v>5.8613425281283264E-2</v>
      </c>
      <c r="F5" s="10">
        <v>6.6787635693052488E-2</v>
      </c>
      <c r="G5" s="10">
        <v>4.4597074783681384E-2</v>
      </c>
    </row>
    <row r="6" spans="1:7" x14ac:dyDescent="0.3">
      <c r="A6" s="14" t="s">
        <v>47</v>
      </c>
      <c r="B6" s="10">
        <v>0.17102105829720068</v>
      </c>
      <c r="C6" s="10">
        <v>7.5874778159413875E-2</v>
      </c>
      <c r="D6" s="10">
        <v>8.9465962367115681E-2</v>
      </c>
      <c r="E6" s="10">
        <v>5.8559025587882757E-2</v>
      </c>
      <c r="F6" s="10">
        <v>6.5121884863785909E-2</v>
      </c>
      <c r="G6" s="10">
        <v>4.564216569746371E-2</v>
      </c>
    </row>
    <row r="7" spans="1:7" x14ac:dyDescent="0.3">
      <c r="A7" s="14" t="s">
        <v>48</v>
      </c>
      <c r="B7" s="10">
        <v>0.17274043181420276</v>
      </c>
      <c r="C7" s="10">
        <v>7.5090800471625779E-2</v>
      </c>
      <c r="D7" s="10">
        <v>9.3742266535420407E-2</v>
      </c>
      <c r="E7" s="10">
        <v>6.0930529762106223E-2</v>
      </c>
      <c r="F7" s="10">
        <v>6.8004462022989196E-2</v>
      </c>
      <c r="G7" s="10">
        <v>4.3862712716304583E-2</v>
      </c>
    </row>
    <row r="8" spans="1:7" x14ac:dyDescent="0.3">
      <c r="A8" s="14" t="s">
        <v>49</v>
      </c>
      <c r="B8" s="10">
        <v>0.1588199654788762</v>
      </c>
      <c r="C8" s="10">
        <v>7.2756666059066957E-2</v>
      </c>
      <c r="D8" s="10">
        <v>0.10119398486895595</v>
      </c>
      <c r="E8" s="10">
        <v>6.5255984213818688E-2</v>
      </c>
      <c r="F8" s="10">
        <v>7.4005406479821928E-2</v>
      </c>
      <c r="G8" s="10">
        <v>4.3289466176862745E-2</v>
      </c>
    </row>
    <row r="9" spans="1:7" x14ac:dyDescent="0.3">
      <c r="A9" s="14" t="s">
        <v>50</v>
      </c>
      <c r="B9" s="10">
        <v>0.16853448037125673</v>
      </c>
      <c r="C9" s="10">
        <v>7.5045659980382512E-2</v>
      </c>
      <c r="D9" s="10">
        <v>9.9842635318970141E-2</v>
      </c>
      <c r="E9" s="10">
        <v>6.2616756249393238E-2</v>
      </c>
      <c r="F9" s="10">
        <v>7.1224557354404944E-2</v>
      </c>
      <c r="G9" s="10">
        <v>3.9205513231175305E-2</v>
      </c>
    </row>
    <row r="10" spans="1:7" x14ac:dyDescent="0.3">
      <c r="A10" s="14" t="s">
        <v>51</v>
      </c>
      <c r="B10" s="10">
        <v>0.17517768838644787</v>
      </c>
      <c r="C10" s="10">
        <v>7.7181777023167225E-2</v>
      </c>
      <c r="D10" s="10">
        <v>0.10169347975152429</v>
      </c>
      <c r="E10" s="10">
        <v>6.2354345592555802E-2</v>
      </c>
      <c r="F10" s="10">
        <v>6.9632446248744873E-2</v>
      </c>
      <c r="G10" s="10">
        <v>3.7808951036539952E-2</v>
      </c>
    </row>
    <row r="11" spans="1:7" x14ac:dyDescent="0.3">
      <c r="A11" s="14" t="s">
        <v>52</v>
      </c>
      <c r="B11" s="10">
        <v>0.17873264355641344</v>
      </c>
      <c r="C11" s="10">
        <v>7.9684716606414463E-2</v>
      </c>
      <c r="D11" s="10">
        <v>0.10214155439484982</v>
      </c>
      <c r="E11" s="10">
        <v>6.1992285857028678E-2</v>
      </c>
      <c r="F11" s="10">
        <v>7.023308032210715E-2</v>
      </c>
      <c r="G11" s="10">
        <v>3.8912838688858781E-2</v>
      </c>
    </row>
    <row r="12" spans="1:7" x14ac:dyDescent="0.3">
      <c r="A12" s="14" t="s">
        <v>53</v>
      </c>
      <c r="B12" s="10">
        <v>0.17681494958315114</v>
      </c>
      <c r="C12" s="10">
        <v>8.1466737862882971E-2</v>
      </c>
      <c r="D12" s="10">
        <v>0.1084722124811963</v>
      </c>
      <c r="E12" s="10">
        <v>6.2848388945095396E-2</v>
      </c>
      <c r="F12" s="10">
        <v>7.0405195139582211E-2</v>
      </c>
      <c r="G12" s="10">
        <v>4.0374082375191793E-2</v>
      </c>
    </row>
    <row r="13" spans="1:7" x14ac:dyDescent="0.3">
      <c r="A13" s="14" t="s">
        <v>54</v>
      </c>
      <c r="B13" s="10">
        <v>0.18004796522703798</v>
      </c>
      <c r="C13" s="10">
        <v>8.3366420568130761E-2</v>
      </c>
      <c r="D13" s="10">
        <v>0.10604522965702766</v>
      </c>
      <c r="E13" s="10">
        <v>6.255169915743071E-2</v>
      </c>
      <c r="F13" s="10">
        <v>6.7354535694300249E-2</v>
      </c>
      <c r="G13" s="10">
        <v>3.7633616132486225E-2</v>
      </c>
    </row>
    <row r="14" spans="1:7" x14ac:dyDescent="0.3">
      <c r="A14" s="14" t="s">
        <v>55</v>
      </c>
      <c r="B14" s="10">
        <v>0.17614058816705166</v>
      </c>
      <c r="C14" s="10">
        <v>8.5121952361567305E-2</v>
      </c>
      <c r="D14" s="10">
        <v>0.10970956337342781</v>
      </c>
      <c r="E14" s="10">
        <v>6.2141241512454794E-2</v>
      </c>
      <c r="F14" s="10">
        <v>6.4880869824303106E-2</v>
      </c>
      <c r="G14" s="10">
        <v>3.8380111093068069E-2</v>
      </c>
    </row>
    <row r="15" spans="1:7" x14ac:dyDescent="0.3">
      <c r="A15" s="14" t="s">
        <v>56</v>
      </c>
      <c r="B15" s="10">
        <v>0.17657291227213839</v>
      </c>
      <c r="C15" s="10">
        <v>8.6173215503251632E-2</v>
      </c>
      <c r="D15" s="10">
        <v>0.11966175447755154</v>
      </c>
      <c r="E15" s="10">
        <v>6.3222850968039757E-2</v>
      </c>
      <c r="F15" s="10">
        <v>6.3568834072294966E-2</v>
      </c>
      <c r="G15" s="10">
        <v>3.8457519118563856E-2</v>
      </c>
    </row>
    <row r="16" spans="1:7" x14ac:dyDescent="0.3">
      <c r="A16" s="14" t="s">
        <v>57</v>
      </c>
      <c r="B16" s="10">
        <v>0.17214077225254171</v>
      </c>
      <c r="C16" s="10">
        <v>8.8526394818077322E-2</v>
      </c>
      <c r="D16" s="10">
        <v>0.12560914385017991</v>
      </c>
      <c r="E16" s="10">
        <v>6.2162340384182953E-2</v>
      </c>
      <c r="F16" s="10">
        <v>6.3055095104337378E-2</v>
      </c>
      <c r="G16" s="10">
        <v>3.7659199533468808E-2</v>
      </c>
    </row>
    <row r="17" spans="1:8" x14ac:dyDescent="0.3">
      <c r="A17" s="14" t="s">
        <v>58</v>
      </c>
      <c r="B17" s="10">
        <v>0.16569847394491422</v>
      </c>
      <c r="C17" s="10">
        <v>8.6498914825137024E-2</v>
      </c>
      <c r="D17" s="10">
        <v>0.12526199460407156</v>
      </c>
      <c r="E17" s="10">
        <v>6.0378246150373502E-2</v>
      </c>
      <c r="F17" s="10">
        <v>6.0691876694730001E-2</v>
      </c>
      <c r="G17" s="10">
        <v>3.482863399950771E-2</v>
      </c>
    </row>
    <row r="18" spans="1:8" x14ac:dyDescent="0.3">
      <c r="A18" s="14" t="s">
        <v>59</v>
      </c>
      <c r="B18" s="10">
        <v>0.16158424089247042</v>
      </c>
      <c r="C18" s="10">
        <v>8.5994624566613553E-2</v>
      </c>
      <c r="D18" s="10">
        <v>0.1276102141854201</v>
      </c>
      <c r="E18" s="10">
        <v>6.17089737885144E-2</v>
      </c>
      <c r="F18" s="10">
        <v>6.2173036950718158E-2</v>
      </c>
      <c r="G18" s="10">
        <v>3.4468455848339095E-2</v>
      </c>
    </row>
    <row r="19" spans="1:8" x14ac:dyDescent="0.3">
      <c r="A19" s="14" t="s">
        <v>60</v>
      </c>
      <c r="B19" s="10">
        <v>0.16586151091163415</v>
      </c>
      <c r="C19" s="10">
        <v>8.3049565738252284E-2</v>
      </c>
      <c r="D19" s="10">
        <v>0.13704825625740327</v>
      </c>
      <c r="E19" s="10">
        <v>6.7853921876016715E-2</v>
      </c>
      <c r="F19" s="10">
        <v>6.7121637471621948E-2</v>
      </c>
      <c r="G19" s="10">
        <v>2.6282912188889587E-2</v>
      </c>
    </row>
    <row r="20" spans="1:8" x14ac:dyDescent="0.3">
      <c r="A20" s="14" t="s">
        <v>61</v>
      </c>
      <c r="B20" s="10">
        <v>0.16693084063024033</v>
      </c>
      <c r="C20" s="10">
        <v>8.818150188960594E-2</v>
      </c>
      <c r="D20" s="10">
        <v>0.1198301532345618</v>
      </c>
      <c r="E20" s="10">
        <v>6.7944121864171286E-2</v>
      </c>
      <c r="F20" s="10">
        <v>6.3566633661280833E-2</v>
      </c>
      <c r="G20" s="10">
        <v>2.9928445795996975E-2</v>
      </c>
    </row>
    <row r="21" spans="1:8" x14ac:dyDescent="0.3">
      <c r="A21" s="14" t="s">
        <v>62</v>
      </c>
      <c r="B21" s="10">
        <v>0.17283711930932069</v>
      </c>
      <c r="C21" s="10">
        <v>9.3511705488209071E-2</v>
      </c>
      <c r="D21" s="10">
        <v>0.10338513963998547</v>
      </c>
      <c r="E21" s="10">
        <v>6.8699444654230168E-2</v>
      </c>
      <c r="F21" s="10">
        <v>6.2759713788594337E-2</v>
      </c>
      <c r="G21" s="10">
        <v>3.2375346541987399E-2</v>
      </c>
    </row>
    <row r="22" spans="1:8" x14ac:dyDescent="0.3">
      <c r="A22" s="14" t="s">
        <v>63</v>
      </c>
      <c r="B22" s="10">
        <v>0.17514774872676378</v>
      </c>
      <c r="C22" s="10">
        <v>9.3927329466035422E-2</v>
      </c>
      <c r="D22" s="10">
        <v>0.10470625422384724</v>
      </c>
      <c r="E22" s="10">
        <v>6.8661433276306541E-2</v>
      </c>
      <c r="F22" s="10">
        <v>6.2506628480752668E-2</v>
      </c>
      <c r="G22" s="10">
        <v>3.0290265268277286E-2</v>
      </c>
    </row>
    <row r="23" spans="1:8" x14ac:dyDescent="0.3">
      <c r="A23" s="14" t="s">
        <v>64</v>
      </c>
      <c r="B23" s="10">
        <v>0.17332824015084713</v>
      </c>
      <c r="C23" s="10">
        <v>9.408242585221295E-2</v>
      </c>
      <c r="D23" s="10">
        <v>0.10839949211249879</v>
      </c>
      <c r="E23" s="10">
        <v>6.6667642073297367E-2</v>
      </c>
      <c r="F23" s="10">
        <v>6.1404344819548193E-2</v>
      </c>
      <c r="G23" s="10">
        <v>3.202702283487683E-2</v>
      </c>
      <c r="H23" s="1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3511-9E8E-4522-A3C9-1987DFA68357}">
  <dimension ref="A1:E26"/>
  <sheetViews>
    <sheetView workbookViewId="0">
      <selection activeCell="B4" sqref="B4:E4"/>
    </sheetView>
  </sheetViews>
  <sheetFormatPr baseColWidth="10" defaultColWidth="11.44140625" defaultRowHeight="14.4" x14ac:dyDescent="0.3"/>
  <cols>
    <col min="1" max="1" width="20" bestFit="1" customWidth="1"/>
    <col min="2" max="2" width="24.109375" bestFit="1" customWidth="1"/>
    <col min="3" max="3" width="64.33203125" customWidth="1"/>
    <col min="4" max="4" width="24" bestFit="1" customWidth="1"/>
    <col min="5" max="5" width="8.33203125" bestFit="1" customWidth="1"/>
    <col min="6" max="6" width="12.33203125" bestFit="1" customWidth="1"/>
  </cols>
  <sheetData>
    <row r="1" spans="1:5" x14ac:dyDescent="0.3">
      <c r="A1" s="13" t="s">
        <v>94</v>
      </c>
      <c r="B1" t="s">
        <v>106</v>
      </c>
    </row>
    <row r="3" spans="1:5" x14ac:dyDescent="0.3">
      <c r="A3" s="13" t="s">
        <v>96</v>
      </c>
      <c r="B3" s="13" t="s">
        <v>97</v>
      </c>
    </row>
    <row r="4" spans="1:5" x14ac:dyDescent="0.3">
      <c r="A4" s="13" t="s">
        <v>98</v>
      </c>
      <c r="B4" t="s">
        <v>107</v>
      </c>
      <c r="C4" t="s">
        <v>108</v>
      </c>
      <c r="D4" t="s">
        <v>109</v>
      </c>
      <c r="E4" t="s">
        <v>110</v>
      </c>
    </row>
    <row r="5" spans="1:5" x14ac:dyDescent="0.3">
      <c r="A5" s="14" t="s">
        <v>43</v>
      </c>
      <c r="B5" s="10">
        <v>4.597589786389028E-2</v>
      </c>
      <c r="C5" s="10">
        <v>1.2826860398401311E-2</v>
      </c>
      <c r="D5" s="10">
        <v>0.35045693309119302</v>
      </c>
      <c r="E5" s="10">
        <v>8.9870174538630061E-3</v>
      </c>
    </row>
    <row r="6" spans="1:5" x14ac:dyDescent="0.3">
      <c r="A6" s="14" t="s">
        <v>44</v>
      </c>
      <c r="B6" s="10">
        <v>4.8229129114082274E-2</v>
      </c>
      <c r="C6" s="10">
        <v>1.2625129188777454E-2</v>
      </c>
      <c r="D6" s="10">
        <v>0.34363482234865417</v>
      </c>
      <c r="E6" s="10">
        <v>8.850913978049664E-3</v>
      </c>
    </row>
    <row r="7" spans="1:5" x14ac:dyDescent="0.3">
      <c r="A7" s="14" t="s">
        <v>45</v>
      </c>
      <c r="B7" s="10">
        <v>5.4889741620417307E-2</v>
      </c>
      <c r="C7" s="10">
        <v>1.279234949551609E-2</v>
      </c>
      <c r="D7" s="10">
        <v>0.3401614231832375</v>
      </c>
      <c r="E7" s="10">
        <v>9.15285622829453E-3</v>
      </c>
    </row>
    <row r="8" spans="1:5" x14ac:dyDescent="0.3">
      <c r="A8" s="14" t="s">
        <v>46</v>
      </c>
      <c r="B8" s="10">
        <v>6.0788292605530439E-2</v>
      </c>
      <c r="C8" s="10">
        <v>1.4821666887915235E-2</v>
      </c>
      <c r="D8" s="10">
        <v>0.33793851693385935</v>
      </c>
      <c r="E8" s="10">
        <v>8.1391936971263682E-3</v>
      </c>
    </row>
    <row r="9" spans="1:5" x14ac:dyDescent="0.3">
      <c r="A9" s="14" t="s">
        <v>47</v>
      </c>
      <c r="B9" s="10">
        <v>6.974578006323591E-2</v>
      </c>
      <c r="C9" s="10">
        <v>1.4180386370153803E-2</v>
      </c>
      <c r="D9" s="10">
        <v>0.32565309671807929</v>
      </c>
      <c r="E9" s="10">
        <v>8.2047943953154068E-3</v>
      </c>
    </row>
    <row r="10" spans="1:5" x14ac:dyDescent="0.3">
      <c r="A10" s="14" t="s">
        <v>48</v>
      </c>
      <c r="B10" s="10">
        <v>6.3313464499160338E-2</v>
      </c>
      <c r="C10" s="10">
        <v>1.6008310853075636E-2</v>
      </c>
      <c r="D10" s="10">
        <v>0.3208831591740135</v>
      </c>
      <c r="E10" s="10">
        <v>7.7789310835943834E-3</v>
      </c>
    </row>
    <row r="11" spans="1:5" x14ac:dyDescent="0.3">
      <c r="A11" s="14" t="s">
        <v>49</v>
      </c>
      <c r="B11" s="10">
        <v>5.7631795475436773E-2</v>
      </c>
      <c r="C11" s="10">
        <v>1.6970367159013872E-2</v>
      </c>
      <c r="D11" s="10">
        <v>0.32562037570605118</v>
      </c>
      <c r="E11" s="10">
        <v>9.3299896365985589E-3</v>
      </c>
    </row>
    <row r="12" spans="1:5" x14ac:dyDescent="0.3">
      <c r="A12" s="14" t="s">
        <v>50</v>
      </c>
      <c r="B12" s="10">
        <v>6.0423240502093203E-2</v>
      </c>
      <c r="C12" s="10">
        <v>1.6039912619262037E-2</v>
      </c>
      <c r="D12" s="10">
        <v>0.32641142114047822</v>
      </c>
      <c r="E12" s="10">
        <v>9.3252498554929047E-3</v>
      </c>
    </row>
    <row r="13" spans="1:5" x14ac:dyDescent="0.3">
      <c r="A13" s="14" t="s">
        <v>51</v>
      </c>
      <c r="B13" s="10">
        <v>5.9928468567643355E-2</v>
      </c>
      <c r="C13" s="10">
        <v>1.7790919557845824E-2</v>
      </c>
      <c r="D13" s="10">
        <v>0.32224411282221693</v>
      </c>
      <c r="E13" s="10">
        <v>8.6672650045298717E-3</v>
      </c>
    </row>
    <row r="14" spans="1:5" x14ac:dyDescent="0.3">
      <c r="A14" s="14" t="s">
        <v>52</v>
      </c>
      <c r="B14" s="10">
        <v>5.4995894456673591E-2</v>
      </c>
      <c r="C14" s="10">
        <v>1.7746516305077335E-2</v>
      </c>
      <c r="D14" s="10">
        <v>0.32287885142998235</v>
      </c>
      <c r="E14" s="10">
        <v>7.8308261625631877E-3</v>
      </c>
    </row>
    <row r="15" spans="1:5" x14ac:dyDescent="0.3">
      <c r="A15" s="14" t="s">
        <v>53</v>
      </c>
      <c r="B15" s="10">
        <v>5.5187456261407815E-2</v>
      </c>
      <c r="C15" s="10">
        <v>1.7548065717440539E-2</v>
      </c>
      <c r="D15" s="10">
        <v>0.3144057391610392</v>
      </c>
      <c r="E15" s="10">
        <v>8.8735213206425044E-3</v>
      </c>
    </row>
    <row r="16" spans="1:5" x14ac:dyDescent="0.3">
      <c r="A16" s="14" t="s">
        <v>54</v>
      </c>
      <c r="B16" s="10">
        <v>5.9399335179232578E-2</v>
      </c>
      <c r="C16" s="10">
        <v>1.751338996475868E-2</v>
      </c>
      <c r="D16" s="10">
        <v>0.31400319674077648</v>
      </c>
      <c r="E16" s="10">
        <v>8.4179153958257938E-3</v>
      </c>
    </row>
    <row r="17" spans="1:5" x14ac:dyDescent="0.3">
      <c r="A17" s="14" t="s">
        <v>55</v>
      </c>
      <c r="B17" s="10">
        <v>6.5691105430693397E-2</v>
      </c>
      <c r="C17" s="10">
        <v>1.8230180784833756E-2</v>
      </c>
      <c r="D17" s="10">
        <v>0.30589519018285388</v>
      </c>
      <c r="E17" s="10">
        <v>8.4752685901350495E-3</v>
      </c>
    </row>
    <row r="18" spans="1:5" x14ac:dyDescent="0.3">
      <c r="A18" s="14" t="s">
        <v>56</v>
      </c>
      <c r="B18" s="10">
        <v>5.8123062843950267E-2</v>
      </c>
      <c r="C18" s="10">
        <v>1.7558362288106439E-2</v>
      </c>
      <c r="D18" s="10">
        <v>0.30295979178794458</v>
      </c>
      <c r="E18" s="10">
        <v>6.6774605517341754E-3</v>
      </c>
    </row>
    <row r="19" spans="1:5" x14ac:dyDescent="0.3">
      <c r="A19" s="14" t="s">
        <v>57</v>
      </c>
      <c r="B19" s="10">
        <v>5.7272889748529329E-2</v>
      </c>
      <c r="C19" s="10">
        <v>1.649281746467833E-2</v>
      </c>
      <c r="D19" s="10">
        <v>0.30469690688195644</v>
      </c>
      <c r="E19" s="10">
        <v>5.7233585991227857E-3</v>
      </c>
    </row>
    <row r="20" spans="1:5" x14ac:dyDescent="0.3">
      <c r="A20" s="14" t="s">
        <v>58</v>
      </c>
      <c r="B20" s="10">
        <v>5.9705589147590818E-2</v>
      </c>
      <c r="C20" s="10">
        <v>1.7804935739404781E-2</v>
      </c>
      <c r="D20" s="10">
        <v>0.31554938106449004</v>
      </c>
      <c r="E20" s="10">
        <v>6.0850828396202912E-3</v>
      </c>
    </row>
    <row r="21" spans="1:5" x14ac:dyDescent="0.3">
      <c r="A21" s="14" t="s">
        <v>59</v>
      </c>
      <c r="B21" s="10">
        <v>5.8749038420651059E-2</v>
      </c>
      <c r="C21" s="10">
        <v>1.8295877888929286E-2</v>
      </c>
      <c r="D21" s="10">
        <v>0.31556193405163491</v>
      </c>
      <c r="E21" s="10">
        <v>5.4635810807231065E-3</v>
      </c>
    </row>
    <row r="22" spans="1:5" x14ac:dyDescent="0.3">
      <c r="A22" s="14" t="s">
        <v>60</v>
      </c>
      <c r="B22" s="10">
        <v>5.727616623609838E-2</v>
      </c>
      <c r="C22" s="10">
        <v>1.5666873324979517E-2</v>
      </c>
      <c r="D22" s="10">
        <v>0.30956153327032432</v>
      </c>
      <c r="E22" s="10">
        <v>5.8295063107723991E-3</v>
      </c>
    </row>
    <row r="23" spans="1:5" x14ac:dyDescent="0.3">
      <c r="A23" s="14" t="s">
        <v>61</v>
      </c>
      <c r="B23" s="10">
        <v>5.5048029432218093E-2</v>
      </c>
      <c r="C23" s="10">
        <v>1.3969850698605698E-2</v>
      </c>
      <c r="D23" s="10">
        <v>0.32244505963692832</v>
      </c>
      <c r="E23" s="10">
        <v>5.7017857239690288E-3</v>
      </c>
    </row>
    <row r="24" spans="1:5" x14ac:dyDescent="0.3">
      <c r="A24" s="14" t="s">
        <v>62</v>
      </c>
      <c r="B24" s="10">
        <v>4.8930060181226628E-2</v>
      </c>
      <c r="C24" s="10">
        <v>1.2125858912262581E-2</v>
      </c>
      <c r="D24" s="10">
        <v>0.33138644790067173</v>
      </c>
      <c r="E24" s="10">
        <v>5.9767177156282245E-3</v>
      </c>
    </row>
    <row r="25" spans="1:5" x14ac:dyDescent="0.3">
      <c r="A25" s="14" t="s">
        <v>63</v>
      </c>
      <c r="B25" s="10">
        <v>4.7936875542832949E-2</v>
      </c>
      <c r="C25" s="10">
        <v>1.2427131401210845E-2</v>
      </c>
      <c r="D25" s="10">
        <v>0.33008015034950444</v>
      </c>
      <c r="E25" s="10">
        <v>6.4967612421810341E-3</v>
      </c>
    </row>
    <row r="26" spans="1:5" x14ac:dyDescent="0.3">
      <c r="A26" s="14" t="s">
        <v>64</v>
      </c>
      <c r="B26" s="10">
        <v>5.6999563977216623E-2</v>
      </c>
      <c r="C26" s="10">
        <v>1.1639365835236641E-2</v>
      </c>
      <c r="D26" s="10">
        <v>0.32144279252368196</v>
      </c>
      <c r="E26" s="10">
        <v>6.2042177260706868E-3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F07C-448A-4EBC-8F93-6D62C0E3D720}">
  <dimension ref="A1:E23"/>
  <sheetViews>
    <sheetView workbookViewId="0">
      <selection sqref="A1:E1"/>
    </sheetView>
  </sheetViews>
  <sheetFormatPr baseColWidth="10" defaultColWidth="11.44140625" defaultRowHeight="14.4" x14ac:dyDescent="0.3"/>
  <cols>
    <col min="2" max="2" width="33.6640625" customWidth="1"/>
    <col min="3" max="3" width="21.88671875" customWidth="1"/>
    <col min="4" max="4" width="28.6640625" customWidth="1"/>
    <col min="5" max="5" width="17.6640625" customWidth="1"/>
  </cols>
  <sheetData>
    <row r="1" spans="1:5" x14ac:dyDescent="0.3">
      <c r="A1" t="s">
        <v>105</v>
      </c>
      <c r="B1" t="s">
        <v>107</v>
      </c>
      <c r="C1" t="s">
        <v>108</v>
      </c>
      <c r="D1" t="s">
        <v>109</v>
      </c>
      <c r="E1" t="s">
        <v>110</v>
      </c>
    </row>
    <row r="2" spans="1:5" x14ac:dyDescent="0.3">
      <c r="A2" t="s">
        <v>43</v>
      </c>
      <c r="B2" s="10">
        <v>4.597589786389028E-2</v>
      </c>
      <c r="C2" s="10">
        <v>1.2826860398401311E-2</v>
      </c>
      <c r="D2" s="10">
        <v>0.35045693309119302</v>
      </c>
      <c r="E2" s="10">
        <v>8.9870174538630061E-3</v>
      </c>
    </row>
    <row r="3" spans="1:5" x14ac:dyDescent="0.3">
      <c r="A3" t="s">
        <v>44</v>
      </c>
      <c r="B3" s="10">
        <v>4.8229129114082274E-2</v>
      </c>
      <c r="C3" s="10">
        <v>1.2625129188777454E-2</v>
      </c>
      <c r="D3" s="10">
        <v>0.34363482234865417</v>
      </c>
      <c r="E3" s="10">
        <v>8.850913978049664E-3</v>
      </c>
    </row>
    <row r="4" spans="1:5" x14ac:dyDescent="0.3">
      <c r="A4" t="s">
        <v>45</v>
      </c>
      <c r="B4" s="10">
        <v>5.4889741620417307E-2</v>
      </c>
      <c r="C4" s="10">
        <v>1.279234949551609E-2</v>
      </c>
      <c r="D4" s="10">
        <v>0.3401614231832375</v>
      </c>
      <c r="E4" s="10">
        <v>9.15285622829453E-3</v>
      </c>
    </row>
    <row r="5" spans="1:5" x14ac:dyDescent="0.3">
      <c r="A5" t="s">
        <v>46</v>
      </c>
      <c r="B5" s="10">
        <v>6.0788292605530439E-2</v>
      </c>
      <c r="C5" s="10">
        <v>1.4821666887915235E-2</v>
      </c>
      <c r="D5" s="10">
        <v>0.33793851693385935</v>
      </c>
      <c r="E5" s="10">
        <v>8.1391936971263682E-3</v>
      </c>
    </row>
    <row r="6" spans="1:5" x14ac:dyDescent="0.3">
      <c r="A6" t="s">
        <v>47</v>
      </c>
      <c r="B6" s="10">
        <v>6.974578006323591E-2</v>
      </c>
      <c r="C6" s="10">
        <v>1.4180386370153803E-2</v>
      </c>
      <c r="D6" s="10">
        <v>0.32565309671807929</v>
      </c>
      <c r="E6" s="10">
        <v>8.2047943953154068E-3</v>
      </c>
    </row>
    <row r="7" spans="1:5" x14ac:dyDescent="0.3">
      <c r="A7" t="s">
        <v>48</v>
      </c>
      <c r="B7" s="10">
        <v>6.3313464499160338E-2</v>
      </c>
      <c r="C7" s="10">
        <v>1.6008310853075636E-2</v>
      </c>
      <c r="D7" s="10">
        <v>0.3208831591740135</v>
      </c>
      <c r="E7" s="10">
        <v>7.7789310835943834E-3</v>
      </c>
    </row>
    <row r="8" spans="1:5" x14ac:dyDescent="0.3">
      <c r="A8" t="s">
        <v>49</v>
      </c>
      <c r="B8" s="10">
        <v>5.7631795475436773E-2</v>
      </c>
      <c r="C8" s="10">
        <v>1.6970367159013872E-2</v>
      </c>
      <c r="D8" s="10">
        <v>0.32562037570605118</v>
      </c>
      <c r="E8" s="10">
        <v>9.3299896365985589E-3</v>
      </c>
    </row>
    <row r="9" spans="1:5" x14ac:dyDescent="0.3">
      <c r="A9" t="s">
        <v>50</v>
      </c>
      <c r="B9" s="10">
        <v>6.0423240502093203E-2</v>
      </c>
      <c r="C9" s="10">
        <v>1.6039912619262037E-2</v>
      </c>
      <c r="D9" s="10">
        <v>0.32641142114047822</v>
      </c>
      <c r="E9" s="10">
        <v>9.3252498554929047E-3</v>
      </c>
    </row>
    <row r="10" spans="1:5" x14ac:dyDescent="0.3">
      <c r="A10" t="s">
        <v>51</v>
      </c>
      <c r="B10" s="10">
        <v>5.9928468567643355E-2</v>
      </c>
      <c r="C10" s="10">
        <v>1.7790919557845824E-2</v>
      </c>
      <c r="D10" s="10">
        <v>0.32224411282221693</v>
      </c>
      <c r="E10" s="10">
        <v>8.6672650045298717E-3</v>
      </c>
    </row>
    <row r="11" spans="1:5" x14ac:dyDescent="0.3">
      <c r="A11" t="s">
        <v>52</v>
      </c>
      <c r="B11" s="10">
        <v>5.4995894456673591E-2</v>
      </c>
      <c r="C11" s="10">
        <v>1.7746516305077335E-2</v>
      </c>
      <c r="D11" s="10">
        <v>0.32287885142998235</v>
      </c>
      <c r="E11" s="10">
        <v>7.8308261625631877E-3</v>
      </c>
    </row>
    <row r="12" spans="1:5" x14ac:dyDescent="0.3">
      <c r="A12" t="s">
        <v>53</v>
      </c>
      <c r="B12" s="10">
        <v>5.5187456261407815E-2</v>
      </c>
      <c r="C12" s="10">
        <v>1.7548065717440539E-2</v>
      </c>
      <c r="D12" s="10">
        <v>0.3144057391610392</v>
      </c>
      <c r="E12" s="10">
        <v>8.8735213206425044E-3</v>
      </c>
    </row>
    <row r="13" spans="1:5" x14ac:dyDescent="0.3">
      <c r="A13" t="s">
        <v>54</v>
      </c>
      <c r="B13" s="10">
        <v>5.9399335179232578E-2</v>
      </c>
      <c r="C13" s="10">
        <v>1.751338996475868E-2</v>
      </c>
      <c r="D13" s="10">
        <v>0.31400319674077648</v>
      </c>
      <c r="E13" s="10">
        <v>8.4179153958257938E-3</v>
      </c>
    </row>
    <row r="14" spans="1:5" x14ac:dyDescent="0.3">
      <c r="A14" t="s">
        <v>55</v>
      </c>
      <c r="B14" s="10">
        <v>6.5691105430693397E-2</v>
      </c>
      <c r="C14" s="10">
        <v>1.8230180784833756E-2</v>
      </c>
      <c r="D14" s="10">
        <v>0.30589519018285388</v>
      </c>
      <c r="E14" s="10">
        <v>8.4752685901350495E-3</v>
      </c>
    </row>
    <row r="15" spans="1:5" x14ac:dyDescent="0.3">
      <c r="A15" t="s">
        <v>56</v>
      </c>
      <c r="B15" s="10">
        <v>5.8123062843950267E-2</v>
      </c>
      <c r="C15" s="10">
        <v>1.7558362288106439E-2</v>
      </c>
      <c r="D15" s="10">
        <v>0.30295979178794458</v>
      </c>
      <c r="E15" s="10">
        <v>6.6774605517341754E-3</v>
      </c>
    </row>
    <row r="16" spans="1:5" x14ac:dyDescent="0.3">
      <c r="A16" t="s">
        <v>57</v>
      </c>
      <c r="B16" s="10">
        <v>5.7272889748529329E-2</v>
      </c>
      <c r="C16" s="10">
        <v>1.649281746467833E-2</v>
      </c>
      <c r="D16" s="10">
        <v>0.30469690688195644</v>
      </c>
      <c r="E16" s="10">
        <v>5.7233585991227857E-3</v>
      </c>
    </row>
    <row r="17" spans="1:5" x14ac:dyDescent="0.3">
      <c r="A17" t="s">
        <v>58</v>
      </c>
      <c r="B17" s="10">
        <v>5.9705589147590818E-2</v>
      </c>
      <c r="C17" s="10">
        <v>1.7804935739404781E-2</v>
      </c>
      <c r="D17" s="10">
        <v>0.31554938106449004</v>
      </c>
      <c r="E17" s="10">
        <v>6.0850828396202912E-3</v>
      </c>
    </row>
    <row r="18" spans="1:5" x14ac:dyDescent="0.3">
      <c r="A18" t="s">
        <v>59</v>
      </c>
      <c r="B18" s="10">
        <v>5.8749038420651059E-2</v>
      </c>
      <c r="C18" s="10">
        <v>1.8295877888929286E-2</v>
      </c>
      <c r="D18" s="10">
        <v>0.31556193405163491</v>
      </c>
      <c r="E18" s="10">
        <v>5.4635810807231065E-3</v>
      </c>
    </row>
    <row r="19" spans="1:5" x14ac:dyDescent="0.3">
      <c r="A19" t="s">
        <v>60</v>
      </c>
      <c r="B19" s="10">
        <v>5.727616623609838E-2</v>
      </c>
      <c r="C19" s="10">
        <v>1.5666873324979517E-2</v>
      </c>
      <c r="D19" s="10">
        <v>0.30956153327032432</v>
      </c>
      <c r="E19" s="10">
        <v>5.8295063107723991E-3</v>
      </c>
    </row>
    <row r="20" spans="1:5" x14ac:dyDescent="0.3">
      <c r="A20" t="s">
        <v>61</v>
      </c>
      <c r="B20" s="10">
        <v>5.5048029432218093E-2</v>
      </c>
      <c r="C20" s="10">
        <v>1.3969850698605698E-2</v>
      </c>
      <c r="D20" s="10">
        <v>0.32244505963692832</v>
      </c>
      <c r="E20" s="10">
        <v>5.7017857239690288E-3</v>
      </c>
    </row>
    <row r="21" spans="1:5" x14ac:dyDescent="0.3">
      <c r="A21" t="s">
        <v>62</v>
      </c>
      <c r="B21" s="10">
        <v>4.8930060181226628E-2</v>
      </c>
      <c r="C21" s="10">
        <v>1.2125858912262581E-2</v>
      </c>
      <c r="D21" s="10">
        <v>0.33138644790067173</v>
      </c>
      <c r="E21" s="10">
        <v>5.9767177156282245E-3</v>
      </c>
    </row>
    <row r="22" spans="1:5" x14ac:dyDescent="0.3">
      <c r="A22" t="s">
        <v>63</v>
      </c>
      <c r="B22" s="10">
        <v>4.7936875542832949E-2</v>
      </c>
      <c r="C22" s="10">
        <v>1.2427131401210845E-2</v>
      </c>
      <c r="D22" s="10">
        <v>0.33008015034950444</v>
      </c>
      <c r="E22" s="10">
        <v>6.4967612421810341E-3</v>
      </c>
    </row>
    <row r="23" spans="1:5" x14ac:dyDescent="0.3">
      <c r="A23" t="s">
        <v>64</v>
      </c>
      <c r="B23" s="10">
        <v>5.6999563977216623E-2</v>
      </c>
      <c r="C23" s="10">
        <v>1.1639365835236641E-2</v>
      </c>
      <c r="D23" s="10">
        <v>0.32144279252368196</v>
      </c>
      <c r="E23" s="10">
        <v>6.2042177260706868E-3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3D23-8066-48B2-858F-B3359D350FF7}">
  <dimension ref="A1:H441"/>
  <sheetViews>
    <sheetView workbookViewId="0">
      <selection activeCell="D477" sqref="D477"/>
    </sheetView>
  </sheetViews>
  <sheetFormatPr baseColWidth="10" defaultColWidth="11.44140625" defaultRowHeight="14.4" x14ac:dyDescent="0.3"/>
  <cols>
    <col min="1" max="1" width="9.109375" bestFit="1" customWidth="1"/>
    <col min="2" max="2" width="80.88671875" bestFit="1" customWidth="1"/>
    <col min="3" max="3" width="25" customWidth="1"/>
    <col min="4" max="4" width="24.6640625" customWidth="1"/>
    <col min="5" max="5" width="6.6640625" bestFit="1" customWidth="1"/>
    <col min="6" max="6" width="11" bestFit="1" customWidth="1"/>
    <col min="7" max="7" width="12" bestFit="1" customWidth="1"/>
    <col min="8" max="8" width="11.5546875" style="10"/>
  </cols>
  <sheetData>
    <row r="1" spans="1:8" x14ac:dyDescent="0.3">
      <c r="A1" t="s">
        <v>111</v>
      </c>
      <c r="B1" t="s">
        <v>112</v>
      </c>
      <c r="C1" t="s">
        <v>94</v>
      </c>
      <c r="D1" t="s">
        <v>113</v>
      </c>
      <c r="E1" t="s">
        <v>105</v>
      </c>
      <c r="F1" t="s">
        <v>65</v>
      </c>
      <c r="G1" t="s">
        <v>114</v>
      </c>
      <c r="H1" s="10" t="s">
        <v>115</v>
      </c>
    </row>
    <row r="2" spans="1:8" hidden="1" x14ac:dyDescent="0.3">
      <c r="A2" t="s">
        <v>116</v>
      </c>
      <c r="B2" t="s">
        <v>117</v>
      </c>
      <c r="C2" t="s">
        <v>118</v>
      </c>
      <c r="E2" t="s">
        <v>43</v>
      </c>
      <c r="F2">
        <v>11260.127</v>
      </c>
      <c r="G2">
        <v>1289662.122</v>
      </c>
      <c r="H2" s="10">
        <f>PIB_ACTIVIDADES[[#This Row],[PIB]]/PIB_ACTIVIDADES[[#This Row],[PIB TOTAL]]</f>
        <v>8.7310674694685651E-3</v>
      </c>
    </row>
    <row r="3" spans="1:8" x14ac:dyDescent="0.3">
      <c r="A3" t="s">
        <v>119</v>
      </c>
      <c r="B3" t="s">
        <v>110</v>
      </c>
      <c r="C3" t="s">
        <v>106</v>
      </c>
      <c r="E3" t="s">
        <v>43</v>
      </c>
      <c r="F3">
        <v>11590.216</v>
      </c>
      <c r="G3">
        <v>1289662.122</v>
      </c>
      <c r="H3" s="10">
        <f>PIB_ACTIVIDADES[[#This Row],[PIB]]/PIB_ACTIVIDADES[[#This Row],[PIB TOTAL]]</f>
        <v>8.9870174538630061E-3</v>
      </c>
    </row>
    <row r="4" spans="1:8" hidden="1" x14ac:dyDescent="0.3">
      <c r="A4" t="s">
        <v>116</v>
      </c>
      <c r="B4" t="s">
        <v>117</v>
      </c>
      <c r="C4" t="s">
        <v>118</v>
      </c>
      <c r="E4" t="s">
        <v>44</v>
      </c>
      <c r="F4">
        <v>10348.764999999999</v>
      </c>
      <c r="G4">
        <v>1335507.8389999999</v>
      </c>
      <c r="H4" s="10">
        <f>PIB_ACTIVIDADES[[#This Row],[PIB]]/PIB_ACTIVIDADES[[#This Row],[PIB TOTAL]]</f>
        <v>7.7489361707894847E-3</v>
      </c>
    </row>
    <row r="5" spans="1:8" hidden="1" x14ac:dyDescent="0.3">
      <c r="A5" t="s">
        <v>116</v>
      </c>
      <c r="B5" t="s">
        <v>117</v>
      </c>
      <c r="C5" t="s">
        <v>118</v>
      </c>
      <c r="E5" t="s">
        <v>45</v>
      </c>
      <c r="F5">
        <v>9649.5329999999994</v>
      </c>
      <c r="G5">
        <v>1368861.9909999999</v>
      </c>
      <c r="H5" s="10">
        <f>PIB_ACTIVIDADES[[#This Row],[PIB]]/PIB_ACTIVIDADES[[#This Row],[PIB TOTAL]]</f>
        <v>7.0493103493586597E-3</v>
      </c>
    </row>
    <row r="6" spans="1:8" hidden="1" x14ac:dyDescent="0.3">
      <c r="A6" t="s">
        <v>116</v>
      </c>
      <c r="B6" t="s">
        <v>117</v>
      </c>
      <c r="C6" t="s">
        <v>118</v>
      </c>
      <c r="E6" t="s">
        <v>46</v>
      </c>
      <c r="F6">
        <v>9426.8179999999993</v>
      </c>
      <c r="G6">
        <v>1469583.898</v>
      </c>
      <c r="H6" s="10">
        <f>PIB_ACTIVIDADES[[#This Row],[PIB]]/PIB_ACTIVIDADES[[#This Row],[PIB TOTAL]]</f>
        <v>6.4146170986421622E-3</v>
      </c>
    </row>
    <row r="7" spans="1:8" hidden="1" x14ac:dyDescent="0.3">
      <c r="A7" t="s">
        <v>116</v>
      </c>
      <c r="B7" t="s">
        <v>117</v>
      </c>
      <c r="C7" t="s">
        <v>118</v>
      </c>
      <c r="E7" t="s">
        <v>47</v>
      </c>
      <c r="F7">
        <v>10348.043</v>
      </c>
      <c r="G7">
        <v>1532409.5149999999</v>
      </c>
      <c r="H7" s="10">
        <f>PIB_ACTIVIDADES[[#This Row],[PIB]]/PIB_ACTIVIDADES[[#This Row],[PIB TOTAL]]</f>
        <v>6.7527921868848484E-3</v>
      </c>
    </row>
    <row r="8" spans="1:8" hidden="1" x14ac:dyDescent="0.3">
      <c r="A8" t="s">
        <v>116</v>
      </c>
      <c r="B8" t="s">
        <v>117</v>
      </c>
      <c r="C8" t="s">
        <v>118</v>
      </c>
      <c r="E8" t="s">
        <v>48</v>
      </c>
      <c r="F8">
        <v>9707.6460000000006</v>
      </c>
      <c r="G8">
        <v>1531655.04</v>
      </c>
      <c r="H8" s="10">
        <f>PIB_ACTIVIDADES[[#This Row],[PIB]]/PIB_ACTIVIDADES[[#This Row],[PIB TOTAL]]</f>
        <v>6.3380106789581031E-3</v>
      </c>
    </row>
    <row r="9" spans="1:8" hidden="1" x14ac:dyDescent="0.3">
      <c r="A9" t="s">
        <v>116</v>
      </c>
      <c r="B9" t="s">
        <v>117</v>
      </c>
      <c r="C9" t="s">
        <v>118</v>
      </c>
      <c r="E9" t="s">
        <v>49</v>
      </c>
      <c r="F9">
        <v>10150.258</v>
      </c>
      <c r="G9">
        <v>1411038.652</v>
      </c>
      <c r="H9" s="10">
        <f>PIB_ACTIVIDADES[[#This Row],[PIB]]/PIB_ACTIVIDADES[[#This Row],[PIB TOTAL]]</f>
        <v>7.1934655975674855E-3</v>
      </c>
    </row>
    <row r="10" spans="1:8" hidden="1" x14ac:dyDescent="0.3">
      <c r="A10" t="s">
        <v>116</v>
      </c>
      <c r="B10" t="s">
        <v>117</v>
      </c>
      <c r="C10" t="s">
        <v>118</v>
      </c>
      <c r="E10" t="s">
        <v>50</v>
      </c>
      <c r="F10">
        <v>10616.776</v>
      </c>
      <c r="G10">
        <v>1509564.2709999999</v>
      </c>
      <c r="H10" s="10">
        <f>PIB_ACTIVIDADES[[#This Row],[PIB]]/PIB_ACTIVIDADES[[#This Row],[PIB TOTAL]]</f>
        <v>7.0330069437633111E-3</v>
      </c>
    </row>
    <row r="11" spans="1:8" hidden="1" x14ac:dyDescent="0.3">
      <c r="A11" t="s">
        <v>116</v>
      </c>
      <c r="B11" t="s">
        <v>117</v>
      </c>
      <c r="C11" t="s">
        <v>118</v>
      </c>
      <c r="E11" t="s">
        <v>51</v>
      </c>
      <c r="F11">
        <v>9489.0930000000008</v>
      </c>
      <c r="G11">
        <v>1558834.9950000001</v>
      </c>
      <c r="H11" s="10">
        <f>PIB_ACTIVIDADES[[#This Row],[PIB]]/PIB_ACTIVIDADES[[#This Row],[PIB TOTAL]]</f>
        <v>6.0872979054463682E-3</v>
      </c>
    </row>
    <row r="12" spans="1:8" hidden="1" x14ac:dyDescent="0.3">
      <c r="A12" t="s">
        <v>116</v>
      </c>
      <c r="B12" t="s">
        <v>117</v>
      </c>
      <c r="C12" t="s">
        <v>118</v>
      </c>
      <c r="E12" t="s">
        <v>52</v>
      </c>
      <c r="F12">
        <v>9890.6149999999998</v>
      </c>
      <c r="G12">
        <v>1621930.2709999999</v>
      </c>
      <c r="H12" s="10">
        <f>PIB_ACTIVIDADES[[#This Row],[PIB]]/PIB_ACTIVIDADES[[#This Row],[PIB TOTAL]]</f>
        <v>6.0980519180408093E-3</v>
      </c>
    </row>
    <row r="13" spans="1:8" hidden="1" x14ac:dyDescent="0.3">
      <c r="A13" t="s">
        <v>116</v>
      </c>
      <c r="B13" t="s">
        <v>117</v>
      </c>
      <c r="C13" t="s">
        <v>118</v>
      </c>
      <c r="E13" t="s">
        <v>53</v>
      </c>
      <c r="F13">
        <v>9741.9639999999999</v>
      </c>
      <c r="G13">
        <v>1611568.7879999999</v>
      </c>
      <c r="H13" s="10">
        <f>PIB_ACTIVIDADES[[#This Row],[PIB]]/PIB_ACTIVIDADES[[#This Row],[PIB TOTAL]]</f>
        <v>6.0450190352036035E-3</v>
      </c>
    </row>
    <row r="14" spans="1:8" hidden="1" x14ac:dyDescent="0.3">
      <c r="A14" t="s">
        <v>116</v>
      </c>
      <c r="B14" t="s">
        <v>117</v>
      </c>
      <c r="C14" t="s">
        <v>118</v>
      </c>
      <c r="E14" t="s">
        <v>54</v>
      </c>
      <c r="F14">
        <v>9918.2970000000005</v>
      </c>
      <c r="G14">
        <v>1666974.7009999999</v>
      </c>
      <c r="H14" s="10">
        <f>PIB_ACTIVIDADES[[#This Row],[PIB]]/PIB_ACTIVIDADES[[#This Row],[PIB TOTAL]]</f>
        <v>5.9498785398783335E-3</v>
      </c>
    </row>
    <row r="15" spans="1:8" hidden="1" x14ac:dyDescent="0.3">
      <c r="A15" t="s">
        <v>116</v>
      </c>
      <c r="B15" t="s">
        <v>117</v>
      </c>
      <c r="C15" t="s">
        <v>118</v>
      </c>
      <c r="E15" t="s">
        <v>55</v>
      </c>
      <c r="F15">
        <v>9215.7270000000008</v>
      </c>
      <c r="G15">
        <v>1728163.9920000001</v>
      </c>
      <c r="H15" s="10">
        <f>PIB_ACTIVIDADES[[#This Row],[PIB]]/PIB_ACTIVIDADES[[#This Row],[PIB TOTAL]]</f>
        <v>5.3326692620962795E-3</v>
      </c>
    </row>
    <row r="16" spans="1:8" hidden="1" x14ac:dyDescent="0.3">
      <c r="A16" t="s">
        <v>116</v>
      </c>
      <c r="B16" t="s">
        <v>117</v>
      </c>
      <c r="C16" t="s">
        <v>118</v>
      </c>
      <c r="E16" t="s">
        <v>56</v>
      </c>
      <c r="F16">
        <v>8444.3469999999998</v>
      </c>
      <c r="G16">
        <v>1743960.8829999999</v>
      </c>
      <c r="H16" s="10">
        <f>PIB_ACTIVIDADES[[#This Row],[PIB]]/PIB_ACTIVIDADES[[#This Row],[PIB TOTAL]]</f>
        <v>4.8420506917986874E-3</v>
      </c>
    </row>
    <row r="17" spans="1:8" hidden="1" x14ac:dyDescent="0.3">
      <c r="A17" t="s">
        <v>116</v>
      </c>
      <c r="B17" t="s">
        <v>117</v>
      </c>
      <c r="C17" t="s">
        <v>118</v>
      </c>
      <c r="E17" t="s">
        <v>57</v>
      </c>
      <c r="F17">
        <v>8499.7420000000002</v>
      </c>
      <c r="G17">
        <v>1809343.5560000001</v>
      </c>
      <c r="H17" s="10">
        <f>PIB_ACTIVIDADES[[#This Row],[PIB]]/PIB_ACTIVIDADES[[#This Row],[PIB TOTAL]]</f>
        <v>4.6976937971861879E-3</v>
      </c>
    </row>
    <row r="18" spans="1:8" hidden="1" x14ac:dyDescent="0.3">
      <c r="A18" t="s">
        <v>116</v>
      </c>
      <c r="B18" t="s">
        <v>117</v>
      </c>
      <c r="C18" t="s">
        <v>118</v>
      </c>
      <c r="E18" t="s">
        <v>58</v>
      </c>
      <c r="F18">
        <v>8533.4869999999992</v>
      </c>
      <c r="G18">
        <v>1909026.4350000001</v>
      </c>
      <c r="H18" s="10">
        <f>PIB_ACTIVIDADES[[#This Row],[PIB]]/PIB_ACTIVIDADES[[#This Row],[PIB TOTAL]]</f>
        <v>4.47007272583944E-3</v>
      </c>
    </row>
    <row r="19" spans="1:8" hidden="1" x14ac:dyDescent="0.3">
      <c r="A19" t="s">
        <v>116</v>
      </c>
      <c r="B19" t="s">
        <v>117</v>
      </c>
      <c r="C19" t="s">
        <v>118</v>
      </c>
      <c r="E19" t="s">
        <v>59</v>
      </c>
      <c r="F19">
        <v>9383.7450000000008</v>
      </c>
      <c r="G19">
        <v>1918825.0060000001</v>
      </c>
      <c r="H19" s="10">
        <f>PIB_ACTIVIDADES[[#This Row],[PIB]]/PIB_ACTIVIDADES[[#This Row],[PIB TOTAL]]</f>
        <v>4.8903599706371561E-3</v>
      </c>
    </row>
    <row r="20" spans="1:8" hidden="1" x14ac:dyDescent="0.3">
      <c r="A20" t="s">
        <v>116</v>
      </c>
      <c r="B20" t="s">
        <v>117</v>
      </c>
      <c r="C20" t="s">
        <v>118</v>
      </c>
      <c r="E20" t="s">
        <v>60</v>
      </c>
      <c r="F20">
        <v>9321.4390000000003</v>
      </c>
      <c r="G20">
        <v>1743165.6229999999</v>
      </c>
      <c r="H20" s="10">
        <f>PIB_ACTIVIDADES[[#This Row],[PIB]]/PIB_ACTIVIDADES[[#This Row],[PIB TOTAL]]</f>
        <v>5.3474201630696111E-3</v>
      </c>
    </row>
    <row r="21" spans="1:8" hidden="1" x14ac:dyDescent="0.3">
      <c r="A21" t="s">
        <v>116</v>
      </c>
      <c r="B21" t="s">
        <v>117</v>
      </c>
      <c r="C21" t="s">
        <v>118</v>
      </c>
      <c r="E21" t="s">
        <v>61</v>
      </c>
      <c r="F21">
        <v>9069.9770000000008</v>
      </c>
      <c r="G21">
        <v>1865875.274</v>
      </c>
      <c r="H21" s="10">
        <f>PIB_ACTIVIDADES[[#This Row],[PIB]]/PIB_ACTIVIDADES[[#This Row],[PIB TOTAL]]</f>
        <v>4.8609771115922943E-3</v>
      </c>
    </row>
    <row r="22" spans="1:8" hidden="1" x14ac:dyDescent="0.3">
      <c r="A22" t="s">
        <v>116</v>
      </c>
      <c r="B22" t="s">
        <v>117</v>
      </c>
      <c r="C22" t="s">
        <v>118</v>
      </c>
      <c r="E22" t="s">
        <v>62</v>
      </c>
      <c r="F22">
        <v>9313.7250000000004</v>
      </c>
      <c r="G22">
        <v>1928658.429</v>
      </c>
      <c r="H22" s="10">
        <f>PIB_ACTIVIDADES[[#This Row],[PIB]]/PIB_ACTIVIDADES[[#This Row],[PIB TOTAL]]</f>
        <v>4.8291210407999108E-3</v>
      </c>
    </row>
    <row r="23" spans="1:8" hidden="1" x14ac:dyDescent="0.3">
      <c r="A23" t="s">
        <v>116</v>
      </c>
      <c r="B23" t="s">
        <v>117</v>
      </c>
      <c r="C23" t="s">
        <v>118</v>
      </c>
      <c r="E23" t="s">
        <v>63</v>
      </c>
      <c r="F23">
        <v>9312.4320000000007</v>
      </c>
      <c r="G23">
        <v>1991519.7</v>
      </c>
      <c r="H23" s="10">
        <f>PIB_ACTIVIDADES[[#This Row],[PIB]]/PIB_ACTIVIDADES[[#This Row],[PIB TOTAL]]</f>
        <v>4.6760431242533033E-3</v>
      </c>
    </row>
    <row r="24" spans="1:8" hidden="1" x14ac:dyDescent="0.3">
      <c r="A24" t="s">
        <v>116</v>
      </c>
      <c r="B24" t="s">
        <v>117</v>
      </c>
      <c r="C24" t="s">
        <v>118</v>
      </c>
      <c r="E24" t="s">
        <v>64</v>
      </c>
      <c r="F24">
        <v>9516.2569999999996</v>
      </c>
      <c r="G24">
        <v>2059995.5649999999</v>
      </c>
      <c r="H24" s="10">
        <f>PIB_ACTIVIDADES[[#This Row],[PIB]]/PIB_ACTIVIDADES[[#This Row],[PIB TOTAL]]</f>
        <v>4.6195521785018989E-3</v>
      </c>
    </row>
    <row r="25" spans="1:8" x14ac:dyDescent="0.3">
      <c r="A25" t="s">
        <v>119</v>
      </c>
      <c r="B25" t="s">
        <v>110</v>
      </c>
      <c r="C25" t="s">
        <v>106</v>
      </c>
      <c r="E25" t="s">
        <v>44</v>
      </c>
      <c r="F25">
        <v>11820.465</v>
      </c>
      <c r="G25">
        <v>1335507.8389999999</v>
      </c>
      <c r="H25" s="10">
        <f>PIB_ACTIVIDADES[[#This Row],[PIB]]/PIB_ACTIVIDADES[[#This Row],[PIB TOTAL]]</f>
        <v>8.850913978049664E-3</v>
      </c>
    </row>
    <row r="26" spans="1:8" x14ac:dyDescent="0.3">
      <c r="A26" t="s">
        <v>119</v>
      </c>
      <c r="B26" t="s">
        <v>110</v>
      </c>
      <c r="C26" t="s">
        <v>106</v>
      </c>
      <c r="E26" t="s">
        <v>45</v>
      </c>
      <c r="F26">
        <v>12528.996999999999</v>
      </c>
      <c r="G26">
        <v>1368861.9909999999</v>
      </c>
      <c r="H26" s="10">
        <f>PIB_ACTIVIDADES[[#This Row],[PIB]]/PIB_ACTIVIDADES[[#This Row],[PIB TOTAL]]</f>
        <v>9.15285622829453E-3</v>
      </c>
    </row>
    <row r="27" spans="1:8" x14ac:dyDescent="0.3">
      <c r="A27" t="s">
        <v>119</v>
      </c>
      <c r="B27" t="s">
        <v>110</v>
      </c>
      <c r="C27" t="s">
        <v>106</v>
      </c>
      <c r="E27" t="s">
        <v>46</v>
      </c>
      <c r="F27">
        <v>11961.227999999999</v>
      </c>
      <c r="G27">
        <v>1469583.898</v>
      </c>
      <c r="H27" s="10">
        <f>PIB_ACTIVIDADES[[#This Row],[PIB]]/PIB_ACTIVIDADES[[#This Row],[PIB TOTAL]]</f>
        <v>8.1391936971263682E-3</v>
      </c>
    </row>
    <row r="28" spans="1:8" x14ac:dyDescent="0.3">
      <c r="A28" t="s">
        <v>119</v>
      </c>
      <c r="B28" t="s">
        <v>110</v>
      </c>
      <c r="C28" t="s">
        <v>106</v>
      </c>
      <c r="E28" t="s">
        <v>47</v>
      </c>
      <c r="F28">
        <v>12573.105</v>
      </c>
      <c r="G28">
        <v>1532409.5149999999</v>
      </c>
      <c r="H28" s="10">
        <f>PIB_ACTIVIDADES[[#This Row],[PIB]]/PIB_ACTIVIDADES[[#This Row],[PIB TOTAL]]</f>
        <v>8.2047943953154068E-3</v>
      </c>
    </row>
    <row r="29" spans="1:8" x14ac:dyDescent="0.3">
      <c r="A29" t="s">
        <v>119</v>
      </c>
      <c r="B29" t="s">
        <v>110</v>
      </c>
      <c r="C29" t="s">
        <v>106</v>
      </c>
      <c r="E29" t="s">
        <v>48</v>
      </c>
      <c r="F29">
        <v>11914.638999999999</v>
      </c>
      <c r="G29">
        <v>1531655.04</v>
      </c>
      <c r="H29" s="10">
        <f>PIB_ACTIVIDADES[[#This Row],[PIB]]/PIB_ACTIVIDADES[[#This Row],[PIB TOTAL]]</f>
        <v>7.7789310835943834E-3</v>
      </c>
    </row>
    <row r="30" spans="1:8" x14ac:dyDescent="0.3">
      <c r="A30" t="s">
        <v>119</v>
      </c>
      <c r="B30" t="s">
        <v>110</v>
      </c>
      <c r="C30" t="s">
        <v>106</v>
      </c>
      <c r="E30" t="s">
        <v>49</v>
      </c>
      <c r="F30">
        <v>13164.976000000001</v>
      </c>
      <c r="G30">
        <v>1411038.652</v>
      </c>
      <c r="H30" s="10">
        <f>PIB_ACTIVIDADES[[#This Row],[PIB]]/PIB_ACTIVIDADES[[#This Row],[PIB TOTAL]]</f>
        <v>9.3299896365985589E-3</v>
      </c>
    </row>
    <row r="31" spans="1:8" x14ac:dyDescent="0.3">
      <c r="A31" t="s">
        <v>119</v>
      </c>
      <c r="B31" t="s">
        <v>110</v>
      </c>
      <c r="C31" t="s">
        <v>106</v>
      </c>
      <c r="E31" t="s">
        <v>50</v>
      </c>
      <c r="F31">
        <v>14077.064</v>
      </c>
      <c r="G31">
        <v>1509564.2709999999</v>
      </c>
      <c r="H31" s="10">
        <f>PIB_ACTIVIDADES[[#This Row],[PIB]]/PIB_ACTIVIDADES[[#This Row],[PIB TOTAL]]</f>
        <v>9.3252498554929047E-3</v>
      </c>
    </row>
    <row r="32" spans="1:8" x14ac:dyDescent="0.3">
      <c r="A32" t="s">
        <v>119</v>
      </c>
      <c r="B32" t="s">
        <v>110</v>
      </c>
      <c r="C32" t="s">
        <v>106</v>
      </c>
      <c r="E32" t="s">
        <v>51</v>
      </c>
      <c r="F32">
        <v>13510.835999999999</v>
      </c>
      <c r="G32">
        <v>1558834.9950000001</v>
      </c>
      <c r="H32" s="10">
        <f>PIB_ACTIVIDADES[[#This Row],[PIB]]/PIB_ACTIVIDADES[[#This Row],[PIB TOTAL]]</f>
        <v>8.6672650045298717E-3</v>
      </c>
    </row>
    <row r="33" spans="1:8" x14ac:dyDescent="0.3">
      <c r="A33" t="s">
        <v>119</v>
      </c>
      <c r="B33" t="s">
        <v>110</v>
      </c>
      <c r="C33" t="s">
        <v>106</v>
      </c>
      <c r="E33" t="s">
        <v>52</v>
      </c>
      <c r="F33">
        <v>12701.054</v>
      </c>
      <c r="G33">
        <v>1621930.2709999999</v>
      </c>
      <c r="H33" s="10">
        <f>PIB_ACTIVIDADES[[#This Row],[PIB]]/PIB_ACTIVIDADES[[#This Row],[PIB TOTAL]]</f>
        <v>7.8308261625631877E-3</v>
      </c>
    </row>
    <row r="34" spans="1:8" x14ac:dyDescent="0.3">
      <c r="A34" t="s">
        <v>119</v>
      </c>
      <c r="B34" t="s">
        <v>110</v>
      </c>
      <c r="C34" t="s">
        <v>106</v>
      </c>
      <c r="E34" t="s">
        <v>53</v>
      </c>
      <c r="F34">
        <v>14300.29</v>
      </c>
      <c r="G34">
        <v>1611568.7879999999</v>
      </c>
      <c r="H34" s="10">
        <f>PIB_ACTIVIDADES[[#This Row],[PIB]]/PIB_ACTIVIDADES[[#This Row],[PIB TOTAL]]</f>
        <v>8.8735213206425044E-3</v>
      </c>
    </row>
    <row r="35" spans="1:8" x14ac:dyDescent="0.3">
      <c r="A35" t="s">
        <v>119</v>
      </c>
      <c r="B35" t="s">
        <v>110</v>
      </c>
      <c r="C35" t="s">
        <v>106</v>
      </c>
      <c r="E35" t="s">
        <v>54</v>
      </c>
      <c r="F35">
        <v>14032.451999999999</v>
      </c>
      <c r="G35">
        <v>1666974.7009999999</v>
      </c>
      <c r="H35" s="10">
        <f>PIB_ACTIVIDADES[[#This Row],[PIB]]/PIB_ACTIVIDADES[[#This Row],[PIB TOTAL]]</f>
        <v>8.4179153958257938E-3</v>
      </c>
    </row>
    <row r="36" spans="1:8" x14ac:dyDescent="0.3">
      <c r="A36" t="s">
        <v>119</v>
      </c>
      <c r="B36" t="s">
        <v>110</v>
      </c>
      <c r="C36" t="s">
        <v>106</v>
      </c>
      <c r="E36" t="s">
        <v>55</v>
      </c>
      <c r="F36">
        <v>14646.654</v>
      </c>
      <c r="G36">
        <v>1728163.9920000001</v>
      </c>
      <c r="H36" s="10">
        <f>PIB_ACTIVIDADES[[#This Row],[PIB]]/PIB_ACTIVIDADES[[#This Row],[PIB TOTAL]]</f>
        <v>8.4752685901350495E-3</v>
      </c>
    </row>
    <row r="37" spans="1:8" x14ac:dyDescent="0.3">
      <c r="A37" t="s">
        <v>119</v>
      </c>
      <c r="B37" t="s">
        <v>110</v>
      </c>
      <c r="C37" t="s">
        <v>106</v>
      </c>
      <c r="E37" t="s">
        <v>56</v>
      </c>
      <c r="F37">
        <v>11645.23</v>
      </c>
      <c r="G37">
        <v>1743960.8829999999</v>
      </c>
      <c r="H37" s="10">
        <f>PIB_ACTIVIDADES[[#This Row],[PIB]]/PIB_ACTIVIDADES[[#This Row],[PIB TOTAL]]</f>
        <v>6.6774605517341754E-3</v>
      </c>
    </row>
    <row r="38" spans="1:8" x14ac:dyDescent="0.3">
      <c r="A38" t="s">
        <v>119</v>
      </c>
      <c r="B38" t="s">
        <v>110</v>
      </c>
      <c r="C38" t="s">
        <v>106</v>
      </c>
      <c r="E38" t="s">
        <v>57</v>
      </c>
      <c r="F38">
        <v>10355.522000000001</v>
      </c>
      <c r="G38">
        <v>1809343.5560000001</v>
      </c>
      <c r="H38" s="10">
        <f>PIB_ACTIVIDADES[[#This Row],[PIB]]/PIB_ACTIVIDADES[[#This Row],[PIB TOTAL]]</f>
        <v>5.7233585991227857E-3</v>
      </c>
    </row>
    <row r="39" spans="1:8" x14ac:dyDescent="0.3">
      <c r="A39" t="s">
        <v>119</v>
      </c>
      <c r="B39" t="s">
        <v>110</v>
      </c>
      <c r="C39" t="s">
        <v>106</v>
      </c>
      <c r="E39" t="s">
        <v>58</v>
      </c>
      <c r="F39">
        <v>11616.584000000001</v>
      </c>
      <c r="G39">
        <v>1909026.4350000001</v>
      </c>
      <c r="H39" s="10">
        <f>PIB_ACTIVIDADES[[#This Row],[PIB]]/PIB_ACTIVIDADES[[#This Row],[PIB TOTAL]]</f>
        <v>6.0850828396202912E-3</v>
      </c>
    </row>
    <row r="40" spans="1:8" x14ac:dyDescent="0.3">
      <c r="A40" t="s">
        <v>119</v>
      </c>
      <c r="B40" t="s">
        <v>110</v>
      </c>
      <c r="C40" t="s">
        <v>106</v>
      </c>
      <c r="E40" t="s">
        <v>59</v>
      </c>
      <c r="F40">
        <v>10483.656000000001</v>
      </c>
      <c r="G40">
        <v>1918825.0060000001</v>
      </c>
      <c r="H40" s="10">
        <f>PIB_ACTIVIDADES[[#This Row],[PIB]]/PIB_ACTIVIDADES[[#This Row],[PIB TOTAL]]</f>
        <v>5.4635810807231065E-3</v>
      </c>
    </row>
    <row r="41" spans="1:8" x14ac:dyDescent="0.3">
      <c r="A41" t="s">
        <v>119</v>
      </c>
      <c r="B41" t="s">
        <v>110</v>
      </c>
      <c r="C41" t="s">
        <v>106</v>
      </c>
      <c r="E41" t="s">
        <v>60</v>
      </c>
      <c r="F41">
        <v>10161.795</v>
      </c>
      <c r="G41">
        <v>1743165.6229999999</v>
      </c>
      <c r="H41" s="10">
        <f>PIB_ACTIVIDADES[[#This Row],[PIB]]/PIB_ACTIVIDADES[[#This Row],[PIB TOTAL]]</f>
        <v>5.8295063107723991E-3</v>
      </c>
    </row>
    <row r="42" spans="1:8" x14ac:dyDescent="0.3">
      <c r="A42" t="s">
        <v>119</v>
      </c>
      <c r="B42" t="s">
        <v>110</v>
      </c>
      <c r="C42" t="s">
        <v>106</v>
      </c>
      <c r="E42" t="s">
        <v>61</v>
      </c>
      <c r="F42">
        <v>10638.821</v>
      </c>
      <c r="G42">
        <v>1865875.274</v>
      </c>
      <c r="H42" s="10">
        <f>PIB_ACTIVIDADES[[#This Row],[PIB]]/PIB_ACTIVIDADES[[#This Row],[PIB TOTAL]]</f>
        <v>5.7017857239690288E-3</v>
      </c>
    </row>
    <row r="43" spans="1:8" x14ac:dyDescent="0.3">
      <c r="A43" t="s">
        <v>119</v>
      </c>
      <c r="B43" t="s">
        <v>110</v>
      </c>
      <c r="C43" t="s">
        <v>106</v>
      </c>
      <c r="E43" t="s">
        <v>62</v>
      </c>
      <c r="F43">
        <v>11527.047</v>
      </c>
      <c r="G43">
        <v>1928658.429</v>
      </c>
      <c r="H43" s="10">
        <f>PIB_ACTIVIDADES[[#This Row],[PIB]]/PIB_ACTIVIDADES[[#This Row],[PIB TOTAL]]</f>
        <v>5.9767177156282245E-3</v>
      </c>
    </row>
    <row r="44" spans="1:8" x14ac:dyDescent="0.3">
      <c r="A44" t="s">
        <v>119</v>
      </c>
      <c r="B44" t="s">
        <v>110</v>
      </c>
      <c r="C44" t="s">
        <v>106</v>
      </c>
      <c r="E44" t="s">
        <v>63</v>
      </c>
      <c r="F44">
        <v>12938.428</v>
      </c>
      <c r="G44">
        <v>1991519.7</v>
      </c>
      <c r="H44" s="10">
        <f>PIB_ACTIVIDADES[[#This Row],[PIB]]/PIB_ACTIVIDADES[[#This Row],[PIB TOTAL]]</f>
        <v>6.4967612421810341E-3</v>
      </c>
    </row>
    <row r="45" spans="1:8" x14ac:dyDescent="0.3">
      <c r="A45" t="s">
        <v>119</v>
      </c>
      <c r="B45" t="s">
        <v>110</v>
      </c>
      <c r="C45" t="s">
        <v>106</v>
      </c>
      <c r="E45" t="s">
        <v>64</v>
      </c>
      <c r="F45">
        <v>12780.661</v>
      </c>
      <c r="G45">
        <v>2059995.5649999999</v>
      </c>
      <c r="H45" s="10">
        <f>PIB_ACTIVIDADES[[#This Row],[PIB]]/PIB_ACTIVIDADES[[#This Row],[PIB TOTAL]]</f>
        <v>6.2042177260706868E-3</v>
      </c>
    </row>
    <row r="46" spans="1:8" x14ac:dyDescent="0.3">
      <c r="A46" t="s">
        <v>120</v>
      </c>
      <c r="B46" t="s">
        <v>108</v>
      </c>
      <c r="C46" t="s">
        <v>106</v>
      </c>
      <c r="E46" t="s">
        <v>43</v>
      </c>
      <c r="F46">
        <v>16542.315999999999</v>
      </c>
      <c r="G46">
        <v>1289662.122</v>
      </c>
      <c r="H46" s="10">
        <f>PIB_ACTIVIDADES[[#This Row],[PIB]]/PIB_ACTIVIDADES[[#This Row],[PIB TOTAL]]</f>
        <v>1.2826860398401311E-2</v>
      </c>
    </row>
    <row r="47" spans="1:8" x14ac:dyDescent="0.3">
      <c r="A47" t="s">
        <v>120</v>
      </c>
      <c r="B47" t="s">
        <v>108</v>
      </c>
      <c r="C47" t="s">
        <v>106</v>
      </c>
      <c r="E47" t="s">
        <v>44</v>
      </c>
      <c r="F47">
        <v>16860.958999999999</v>
      </c>
      <c r="G47">
        <v>1335507.8389999999</v>
      </c>
      <c r="H47" s="10">
        <f>PIB_ACTIVIDADES[[#This Row],[PIB]]/PIB_ACTIVIDADES[[#This Row],[PIB TOTAL]]</f>
        <v>1.2625129188777454E-2</v>
      </c>
    </row>
    <row r="48" spans="1:8" x14ac:dyDescent="0.3">
      <c r="A48" t="s">
        <v>120</v>
      </c>
      <c r="B48" t="s">
        <v>108</v>
      </c>
      <c r="C48" t="s">
        <v>106</v>
      </c>
      <c r="E48" t="s">
        <v>45</v>
      </c>
      <c r="F48">
        <v>17510.960999999999</v>
      </c>
      <c r="G48">
        <v>1368861.9909999999</v>
      </c>
      <c r="H48" s="10">
        <f>PIB_ACTIVIDADES[[#This Row],[PIB]]/PIB_ACTIVIDADES[[#This Row],[PIB TOTAL]]</f>
        <v>1.279234949551609E-2</v>
      </c>
    </row>
    <row r="49" spans="1:8" x14ac:dyDescent="0.3">
      <c r="A49" t="s">
        <v>120</v>
      </c>
      <c r="B49" t="s">
        <v>108</v>
      </c>
      <c r="C49" t="s">
        <v>106</v>
      </c>
      <c r="E49" t="s">
        <v>46</v>
      </c>
      <c r="F49">
        <v>21781.683000000001</v>
      </c>
      <c r="G49">
        <v>1469583.898</v>
      </c>
      <c r="H49" s="10">
        <f>PIB_ACTIVIDADES[[#This Row],[PIB]]/PIB_ACTIVIDADES[[#This Row],[PIB TOTAL]]</f>
        <v>1.4821666887915235E-2</v>
      </c>
    </row>
    <row r="50" spans="1:8" x14ac:dyDescent="0.3">
      <c r="A50" t="s">
        <v>120</v>
      </c>
      <c r="B50" t="s">
        <v>108</v>
      </c>
      <c r="C50" t="s">
        <v>106</v>
      </c>
      <c r="E50" t="s">
        <v>47</v>
      </c>
      <c r="F50">
        <v>21730.159</v>
      </c>
      <c r="G50">
        <v>1532409.5149999999</v>
      </c>
      <c r="H50" s="10">
        <f>PIB_ACTIVIDADES[[#This Row],[PIB]]/PIB_ACTIVIDADES[[#This Row],[PIB TOTAL]]</f>
        <v>1.4180386370153803E-2</v>
      </c>
    </row>
    <row r="51" spans="1:8" x14ac:dyDescent="0.3">
      <c r="A51" t="s">
        <v>120</v>
      </c>
      <c r="B51" t="s">
        <v>108</v>
      </c>
      <c r="C51" t="s">
        <v>106</v>
      </c>
      <c r="E51" t="s">
        <v>48</v>
      </c>
      <c r="F51">
        <v>24519.21</v>
      </c>
      <c r="G51">
        <v>1531655.04</v>
      </c>
      <c r="H51" s="10">
        <f>PIB_ACTIVIDADES[[#This Row],[PIB]]/PIB_ACTIVIDADES[[#This Row],[PIB TOTAL]]</f>
        <v>1.6008310853075636E-2</v>
      </c>
    </row>
    <row r="52" spans="1:8" x14ac:dyDescent="0.3">
      <c r="A52" t="s">
        <v>120</v>
      </c>
      <c r="B52" t="s">
        <v>108</v>
      </c>
      <c r="C52" t="s">
        <v>106</v>
      </c>
      <c r="E52" t="s">
        <v>49</v>
      </c>
      <c r="F52">
        <v>23945.844000000001</v>
      </c>
      <c r="G52">
        <v>1411038.652</v>
      </c>
      <c r="H52" s="10">
        <f>PIB_ACTIVIDADES[[#This Row],[PIB]]/PIB_ACTIVIDADES[[#This Row],[PIB TOTAL]]</f>
        <v>1.6970367159013872E-2</v>
      </c>
    </row>
    <row r="53" spans="1:8" x14ac:dyDescent="0.3">
      <c r="A53" t="s">
        <v>120</v>
      </c>
      <c r="B53" t="s">
        <v>108</v>
      </c>
      <c r="C53" t="s">
        <v>106</v>
      </c>
      <c r="E53" t="s">
        <v>50</v>
      </c>
      <c r="F53">
        <v>24213.278999999999</v>
      </c>
      <c r="G53">
        <v>1509564.2709999999</v>
      </c>
      <c r="H53" s="10">
        <f>PIB_ACTIVIDADES[[#This Row],[PIB]]/PIB_ACTIVIDADES[[#This Row],[PIB TOTAL]]</f>
        <v>1.6039912619262037E-2</v>
      </c>
    </row>
    <row r="54" spans="1:8" x14ac:dyDescent="0.3">
      <c r="A54" t="s">
        <v>120</v>
      </c>
      <c r="B54" t="s">
        <v>108</v>
      </c>
      <c r="C54" t="s">
        <v>106</v>
      </c>
      <c r="E54" t="s">
        <v>51</v>
      </c>
      <c r="F54">
        <v>27733.108</v>
      </c>
      <c r="G54">
        <v>1558834.9950000001</v>
      </c>
      <c r="H54" s="10">
        <f>PIB_ACTIVIDADES[[#This Row],[PIB]]/PIB_ACTIVIDADES[[#This Row],[PIB TOTAL]]</f>
        <v>1.7790919557845824E-2</v>
      </c>
    </row>
    <row r="55" spans="1:8" x14ac:dyDescent="0.3">
      <c r="A55" t="s">
        <v>120</v>
      </c>
      <c r="B55" t="s">
        <v>108</v>
      </c>
      <c r="C55" t="s">
        <v>106</v>
      </c>
      <c r="E55" t="s">
        <v>52</v>
      </c>
      <c r="F55">
        <v>28783.612000000001</v>
      </c>
      <c r="G55">
        <v>1621930.2709999999</v>
      </c>
      <c r="H55" s="10">
        <f>PIB_ACTIVIDADES[[#This Row],[PIB]]/PIB_ACTIVIDADES[[#This Row],[PIB TOTAL]]</f>
        <v>1.7746516305077335E-2</v>
      </c>
    </row>
    <row r="56" spans="1:8" x14ac:dyDescent="0.3">
      <c r="A56" t="s">
        <v>120</v>
      </c>
      <c r="B56" t="s">
        <v>108</v>
      </c>
      <c r="C56" t="s">
        <v>106</v>
      </c>
      <c r="E56" t="s">
        <v>53</v>
      </c>
      <c r="F56">
        <v>28279.915000000001</v>
      </c>
      <c r="G56">
        <v>1611568.7879999999</v>
      </c>
      <c r="H56" s="10">
        <f>PIB_ACTIVIDADES[[#This Row],[PIB]]/PIB_ACTIVIDADES[[#This Row],[PIB TOTAL]]</f>
        <v>1.7548065717440539E-2</v>
      </c>
    </row>
    <row r="57" spans="1:8" x14ac:dyDescent="0.3">
      <c r="A57" t="s">
        <v>120</v>
      </c>
      <c r="B57" t="s">
        <v>108</v>
      </c>
      <c r="C57" t="s">
        <v>106</v>
      </c>
      <c r="E57" t="s">
        <v>54</v>
      </c>
      <c r="F57">
        <v>29194.378000000001</v>
      </c>
      <c r="G57">
        <v>1666974.7009999999</v>
      </c>
      <c r="H57" s="10">
        <f>PIB_ACTIVIDADES[[#This Row],[PIB]]/PIB_ACTIVIDADES[[#This Row],[PIB TOTAL]]</f>
        <v>1.751338996475868E-2</v>
      </c>
    </row>
    <row r="58" spans="1:8" x14ac:dyDescent="0.3">
      <c r="A58" t="s">
        <v>120</v>
      </c>
      <c r="B58" t="s">
        <v>108</v>
      </c>
      <c r="C58" t="s">
        <v>106</v>
      </c>
      <c r="E58" t="s">
        <v>55</v>
      </c>
      <c r="F58">
        <v>31504.741999999998</v>
      </c>
      <c r="G58">
        <v>1728163.9920000001</v>
      </c>
      <c r="H58" s="10">
        <f>PIB_ACTIVIDADES[[#This Row],[PIB]]/PIB_ACTIVIDADES[[#This Row],[PIB TOTAL]]</f>
        <v>1.8230180784833756E-2</v>
      </c>
    </row>
    <row r="59" spans="1:8" x14ac:dyDescent="0.3">
      <c r="A59" t="s">
        <v>120</v>
      </c>
      <c r="B59" t="s">
        <v>108</v>
      </c>
      <c r="C59" t="s">
        <v>106</v>
      </c>
      <c r="E59" t="s">
        <v>56</v>
      </c>
      <c r="F59">
        <v>30621.097000000002</v>
      </c>
      <c r="G59">
        <v>1743960.8829999999</v>
      </c>
      <c r="H59" s="10">
        <f>PIB_ACTIVIDADES[[#This Row],[PIB]]/PIB_ACTIVIDADES[[#This Row],[PIB TOTAL]]</f>
        <v>1.7558362288106439E-2</v>
      </c>
    </row>
    <row r="60" spans="1:8" x14ac:dyDescent="0.3">
      <c r="A60" t="s">
        <v>120</v>
      </c>
      <c r="B60" t="s">
        <v>108</v>
      </c>
      <c r="C60" t="s">
        <v>106</v>
      </c>
      <c r="E60" t="s">
        <v>57</v>
      </c>
      <c r="F60">
        <v>29841.172999999999</v>
      </c>
      <c r="G60">
        <v>1809343.5560000001</v>
      </c>
      <c r="H60" s="10">
        <f>PIB_ACTIVIDADES[[#This Row],[PIB]]/PIB_ACTIVIDADES[[#This Row],[PIB TOTAL]]</f>
        <v>1.649281746467833E-2</v>
      </c>
    </row>
    <row r="61" spans="1:8" x14ac:dyDescent="0.3">
      <c r="A61" t="s">
        <v>120</v>
      </c>
      <c r="B61" t="s">
        <v>108</v>
      </c>
      <c r="C61" t="s">
        <v>106</v>
      </c>
      <c r="E61" t="s">
        <v>58</v>
      </c>
      <c r="F61">
        <v>33990.093000000001</v>
      </c>
      <c r="G61">
        <v>1909026.4350000001</v>
      </c>
      <c r="H61" s="10">
        <f>PIB_ACTIVIDADES[[#This Row],[PIB]]/PIB_ACTIVIDADES[[#This Row],[PIB TOTAL]]</f>
        <v>1.7804935739404781E-2</v>
      </c>
    </row>
    <row r="62" spans="1:8" x14ac:dyDescent="0.3">
      <c r="A62" t="s">
        <v>120</v>
      </c>
      <c r="B62" t="s">
        <v>108</v>
      </c>
      <c r="C62" t="s">
        <v>106</v>
      </c>
      <c r="E62" t="s">
        <v>59</v>
      </c>
      <c r="F62">
        <v>35106.588000000003</v>
      </c>
      <c r="G62">
        <v>1918825.0060000001</v>
      </c>
      <c r="H62" s="10">
        <f>PIB_ACTIVIDADES[[#This Row],[PIB]]/PIB_ACTIVIDADES[[#This Row],[PIB TOTAL]]</f>
        <v>1.8295877888929286E-2</v>
      </c>
    </row>
    <row r="63" spans="1:8" x14ac:dyDescent="0.3">
      <c r="A63" t="s">
        <v>120</v>
      </c>
      <c r="B63" t="s">
        <v>108</v>
      </c>
      <c r="C63" t="s">
        <v>106</v>
      </c>
      <c r="E63" t="s">
        <v>60</v>
      </c>
      <c r="F63">
        <v>27309.955000000002</v>
      </c>
      <c r="G63">
        <v>1743165.6229999999</v>
      </c>
      <c r="H63" s="10">
        <f>PIB_ACTIVIDADES[[#This Row],[PIB]]/PIB_ACTIVIDADES[[#This Row],[PIB TOTAL]]</f>
        <v>1.5666873324979517E-2</v>
      </c>
    </row>
    <row r="64" spans="1:8" x14ac:dyDescent="0.3">
      <c r="A64" t="s">
        <v>120</v>
      </c>
      <c r="B64" t="s">
        <v>108</v>
      </c>
      <c r="C64" t="s">
        <v>106</v>
      </c>
      <c r="E64" t="s">
        <v>61</v>
      </c>
      <c r="F64">
        <v>26065.999</v>
      </c>
      <c r="G64">
        <v>1865875.274</v>
      </c>
      <c r="H64" s="10">
        <f>PIB_ACTIVIDADES[[#This Row],[PIB]]/PIB_ACTIVIDADES[[#This Row],[PIB TOTAL]]</f>
        <v>1.3969850698605698E-2</v>
      </c>
    </row>
    <row r="65" spans="1:8" x14ac:dyDescent="0.3">
      <c r="A65" t="s">
        <v>120</v>
      </c>
      <c r="B65" t="s">
        <v>108</v>
      </c>
      <c r="C65" t="s">
        <v>106</v>
      </c>
      <c r="E65" t="s">
        <v>62</v>
      </c>
      <c r="F65">
        <v>23386.639999999999</v>
      </c>
      <c r="G65">
        <v>1928658.429</v>
      </c>
      <c r="H65" s="10">
        <f>PIB_ACTIVIDADES[[#This Row],[PIB]]/PIB_ACTIVIDADES[[#This Row],[PIB TOTAL]]</f>
        <v>1.2125858912262581E-2</v>
      </c>
    </row>
    <row r="66" spans="1:8" x14ac:dyDescent="0.3">
      <c r="A66" t="s">
        <v>120</v>
      </c>
      <c r="B66" t="s">
        <v>108</v>
      </c>
      <c r="C66" t="s">
        <v>106</v>
      </c>
      <c r="E66" t="s">
        <v>63</v>
      </c>
      <c r="F66">
        <v>24748.877</v>
      </c>
      <c r="G66">
        <v>1991519.7</v>
      </c>
      <c r="H66" s="10">
        <f>PIB_ACTIVIDADES[[#This Row],[PIB]]/PIB_ACTIVIDADES[[#This Row],[PIB TOTAL]]</f>
        <v>1.2427131401210845E-2</v>
      </c>
    </row>
    <row r="67" spans="1:8" x14ac:dyDescent="0.3">
      <c r="A67" t="s">
        <v>120</v>
      </c>
      <c r="B67" t="s">
        <v>108</v>
      </c>
      <c r="C67" t="s">
        <v>106</v>
      </c>
      <c r="E67" t="s">
        <v>64</v>
      </c>
      <c r="F67">
        <v>23977.042000000001</v>
      </c>
      <c r="G67">
        <v>2059995.5649999999</v>
      </c>
      <c r="H67" s="10">
        <f>PIB_ACTIVIDADES[[#This Row],[PIB]]/PIB_ACTIVIDADES[[#This Row],[PIB TOTAL]]</f>
        <v>1.1639365835236641E-2</v>
      </c>
    </row>
    <row r="68" spans="1:8" x14ac:dyDescent="0.3">
      <c r="A68" t="s">
        <v>121</v>
      </c>
      <c r="B68" t="s">
        <v>107</v>
      </c>
      <c r="C68" t="s">
        <v>106</v>
      </c>
      <c r="E68" t="s">
        <v>43</v>
      </c>
      <c r="F68">
        <v>59293.374000000003</v>
      </c>
      <c r="G68">
        <v>1289662.122</v>
      </c>
      <c r="H68" s="10">
        <f>PIB_ACTIVIDADES[[#This Row],[PIB]]/PIB_ACTIVIDADES[[#This Row],[PIB TOTAL]]</f>
        <v>4.597589786389028E-2</v>
      </c>
    </row>
    <row r="69" spans="1:8" x14ac:dyDescent="0.3">
      <c r="A69" t="s">
        <v>121</v>
      </c>
      <c r="B69" t="s">
        <v>107</v>
      </c>
      <c r="C69" t="s">
        <v>106</v>
      </c>
      <c r="E69" t="s">
        <v>44</v>
      </c>
      <c r="F69">
        <v>64410.38</v>
      </c>
      <c r="G69">
        <v>1335507.8389999999</v>
      </c>
      <c r="H69" s="10">
        <f>PIB_ACTIVIDADES[[#This Row],[PIB]]/PIB_ACTIVIDADES[[#This Row],[PIB TOTAL]]</f>
        <v>4.8229129114082274E-2</v>
      </c>
    </row>
    <row r="70" spans="1:8" x14ac:dyDescent="0.3">
      <c r="A70" t="s">
        <v>121</v>
      </c>
      <c r="B70" t="s">
        <v>107</v>
      </c>
      <c r="C70" t="s">
        <v>106</v>
      </c>
      <c r="E70" t="s">
        <v>45</v>
      </c>
      <c r="F70">
        <v>75136.481</v>
      </c>
      <c r="G70">
        <v>1368861.9909999999</v>
      </c>
      <c r="H70" s="10">
        <f>PIB_ACTIVIDADES[[#This Row],[PIB]]/PIB_ACTIVIDADES[[#This Row],[PIB TOTAL]]</f>
        <v>5.4889741620417307E-2</v>
      </c>
    </row>
    <row r="71" spans="1:8" x14ac:dyDescent="0.3">
      <c r="A71" t="s">
        <v>121</v>
      </c>
      <c r="B71" t="s">
        <v>107</v>
      </c>
      <c r="C71" t="s">
        <v>106</v>
      </c>
      <c r="E71" t="s">
        <v>46</v>
      </c>
      <c r="F71">
        <v>89333.495999999999</v>
      </c>
      <c r="G71">
        <v>1469583.898</v>
      </c>
      <c r="H71" s="10">
        <f>PIB_ACTIVIDADES[[#This Row],[PIB]]/PIB_ACTIVIDADES[[#This Row],[PIB TOTAL]]</f>
        <v>6.0788292605530439E-2</v>
      </c>
    </row>
    <row r="72" spans="1:8" x14ac:dyDescent="0.3">
      <c r="A72" t="s">
        <v>121</v>
      </c>
      <c r="B72" t="s">
        <v>107</v>
      </c>
      <c r="C72" t="s">
        <v>106</v>
      </c>
      <c r="E72" t="s">
        <v>47</v>
      </c>
      <c r="F72">
        <v>106879.09699999999</v>
      </c>
      <c r="G72">
        <v>1532409.5149999999</v>
      </c>
      <c r="H72" s="10">
        <f>PIB_ACTIVIDADES[[#This Row],[PIB]]/PIB_ACTIVIDADES[[#This Row],[PIB TOTAL]]</f>
        <v>6.974578006323591E-2</v>
      </c>
    </row>
    <row r="73" spans="1:8" x14ac:dyDescent="0.3">
      <c r="A73" t="s">
        <v>121</v>
      </c>
      <c r="B73" t="s">
        <v>107</v>
      </c>
      <c r="C73" t="s">
        <v>106</v>
      </c>
      <c r="E73" t="s">
        <v>48</v>
      </c>
      <c r="F73">
        <v>96974.387000000002</v>
      </c>
      <c r="G73">
        <v>1531655.04</v>
      </c>
      <c r="H73" s="10">
        <f>PIB_ACTIVIDADES[[#This Row],[PIB]]/PIB_ACTIVIDADES[[#This Row],[PIB TOTAL]]</f>
        <v>6.3313464499160338E-2</v>
      </c>
    </row>
    <row r="74" spans="1:8" x14ac:dyDescent="0.3">
      <c r="A74" t="s">
        <v>121</v>
      </c>
      <c r="B74" t="s">
        <v>107</v>
      </c>
      <c r="C74" t="s">
        <v>106</v>
      </c>
      <c r="E74" t="s">
        <v>49</v>
      </c>
      <c r="F74">
        <v>81320.691000000006</v>
      </c>
      <c r="G74">
        <v>1411038.652</v>
      </c>
      <c r="H74" s="10">
        <f>PIB_ACTIVIDADES[[#This Row],[PIB]]/PIB_ACTIVIDADES[[#This Row],[PIB TOTAL]]</f>
        <v>5.7631795475436773E-2</v>
      </c>
    </row>
    <row r="75" spans="1:8" x14ac:dyDescent="0.3">
      <c r="A75" t="s">
        <v>121</v>
      </c>
      <c r="B75" t="s">
        <v>107</v>
      </c>
      <c r="C75" t="s">
        <v>106</v>
      </c>
      <c r="E75" t="s">
        <v>50</v>
      </c>
      <c r="F75">
        <v>91212.764999999999</v>
      </c>
      <c r="G75">
        <v>1509564.2709999999</v>
      </c>
      <c r="H75" s="10">
        <f>PIB_ACTIVIDADES[[#This Row],[PIB]]/PIB_ACTIVIDADES[[#This Row],[PIB TOTAL]]</f>
        <v>6.0423240502093203E-2</v>
      </c>
    </row>
    <row r="76" spans="1:8" x14ac:dyDescent="0.3">
      <c r="A76" t="s">
        <v>121</v>
      </c>
      <c r="B76" t="s">
        <v>107</v>
      </c>
      <c r="C76" t="s">
        <v>106</v>
      </c>
      <c r="E76" t="s">
        <v>51</v>
      </c>
      <c r="F76">
        <v>93418.593999999997</v>
      </c>
      <c r="G76">
        <v>1558834.9950000001</v>
      </c>
      <c r="H76" s="10">
        <f>PIB_ACTIVIDADES[[#This Row],[PIB]]/PIB_ACTIVIDADES[[#This Row],[PIB TOTAL]]</f>
        <v>5.9928468567643355E-2</v>
      </c>
    </row>
    <row r="77" spans="1:8" x14ac:dyDescent="0.3">
      <c r="A77" t="s">
        <v>121</v>
      </c>
      <c r="B77" t="s">
        <v>107</v>
      </c>
      <c r="C77" t="s">
        <v>106</v>
      </c>
      <c r="E77" t="s">
        <v>52</v>
      </c>
      <c r="F77">
        <v>89199.505999999994</v>
      </c>
      <c r="G77">
        <v>1621930.2709999999</v>
      </c>
      <c r="H77" s="10">
        <f>PIB_ACTIVIDADES[[#This Row],[PIB]]/PIB_ACTIVIDADES[[#This Row],[PIB TOTAL]]</f>
        <v>5.4995894456673591E-2</v>
      </c>
    </row>
    <row r="78" spans="1:8" x14ac:dyDescent="0.3">
      <c r="A78" t="s">
        <v>121</v>
      </c>
      <c r="B78" t="s">
        <v>107</v>
      </c>
      <c r="C78" t="s">
        <v>106</v>
      </c>
      <c r="E78" t="s">
        <v>53</v>
      </c>
      <c r="F78">
        <v>88938.381999999998</v>
      </c>
      <c r="G78">
        <v>1611568.7879999999</v>
      </c>
      <c r="H78" s="10">
        <f>PIB_ACTIVIDADES[[#This Row],[PIB]]/PIB_ACTIVIDADES[[#This Row],[PIB TOTAL]]</f>
        <v>5.5187456261407815E-2</v>
      </c>
    </row>
    <row r="79" spans="1:8" x14ac:dyDescent="0.3">
      <c r="A79" t="s">
        <v>121</v>
      </c>
      <c r="B79" t="s">
        <v>107</v>
      </c>
      <c r="C79" t="s">
        <v>106</v>
      </c>
      <c r="E79" t="s">
        <v>54</v>
      </c>
      <c r="F79">
        <v>99017.188999999998</v>
      </c>
      <c r="G79">
        <v>1666974.7009999999</v>
      </c>
      <c r="H79" s="10">
        <f>PIB_ACTIVIDADES[[#This Row],[PIB]]/PIB_ACTIVIDADES[[#This Row],[PIB TOTAL]]</f>
        <v>5.9399335179232578E-2</v>
      </c>
    </row>
    <row r="80" spans="1:8" x14ac:dyDescent="0.3">
      <c r="A80" t="s">
        <v>121</v>
      </c>
      <c r="B80" t="s">
        <v>107</v>
      </c>
      <c r="C80" t="s">
        <v>106</v>
      </c>
      <c r="E80" t="s">
        <v>55</v>
      </c>
      <c r="F80">
        <v>113525.003</v>
      </c>
      <c r="G80">
        <v>1728163.9920000001</v>
      </c>
      <c r="H80" s="10">
        <f>PIB_ACTIVIDADES[[#This Row],[PIB]]/PIB_ACTIVIDADES[[#This Row],[PIB TOTAL]]</f>
        <v>6.5691105430693397E-2</v>
      </c>
    </row>
    <row r="81" spans="1:8" x14ac:dyDescent="0.3">
      <c r="A81" t="s">
        <v>121</v>
      </c>
      <c r="B81" t="s">
        <v>107</v>
      </c>
      <c r="C81" t="s">
        <v>106</v>
      </c>
      <c r="E81" t="s">
        <v>56</v>
      </c>
      <c r="F81">
        <v>101364.348</v>
      </c>
      <c r="G81">
        <v>1743960.8829999999</v>
      </c>
      <c r="H81" s="10">
        <f>PIB_ACTIVIDADES[[#This Row],[PIB]]/PIB_ACTIVIDADES[[#This Row],[PIB TOTAL]]</f>
        <v>5.8123062843950267E-2</v>
      </c>
    </row>
    <row r="82" spans="1:8" x14ac:dyDescent="0.3">
      <c r="A82" t="s">
        <v>121</v>
      </c>
      <c r="B82" t="s">
        <v>107</v>
      </c>
      <c r="C82" t="s">
        <v>106</v>
      </c>
      <c r="E82" t="s">
        <v>57</v>
      </c>
      <c r="F82">
        <v>103626.334</v>
      </c>
      <c r="G82">
        <v>1809343.5560000001</v>
      </c>
      <c r="H82" s="10">
        <f>PIB_ACTIVIDADES[[#This Row],[PIB]]/PIB_ACTIVIDADES[[#This Row],[PIB TOTAL]]</f>
        <v>5.7272889748529329E-2</v>
      </c>
    </row>
    <row r="83" spans="1:8" x14ac:dyDescent="0.3">
      <c r="A83" t="s">
        <v>121</v>
      </c>
      <c r="B83" t="s">
        <v>107</v>
      </c>
      <c r="C83" t="s">
        <v>106</v>
      </c>
      <c r="E83" t="s">
        <v>58</v>
      </c>
      <c r="F83">
        <v>113979.548</v>
      </c>
      <c r="G83">
        <v>1909026.4350000001</v>
      </c>
      <c r="H83" s="10">
        <f>PIB_ACTIVIDADES[[#This Row],[PIB]]/PIB_ACTIVIDADES[[#This Row],[PIB TOTAL]]</f>
        <v>5.9705589147590818E-2</v>
      </c>
    </row>
    <row r="84" spans="1:8" x14ac:dyDescent="0.3">
      <c r="A84" t="s">
        <v>121</v>
      </c>
      <c r="B84" t="s">
        <v>107</v>
      </c>
      <c r="C84" t="s">
        <v>106</v>
      </c>
      <c r="E84" t="s">
        <v>59</v>
      </c>
      <c r="F84">
        <v>112729.124</v>
      </c>
      <c r="G84">
        <v>1918825.0060000001</v>
      </c>
      <c r="H84" s="10">
        <f>PIB_ACTIVIDADES[[#This Row],[PIB]]/PIB_ACTIVIDADES[[#This Row],[PIB TOTAL]]</f>
        <v>5.8749038420651059E-2</v>
      </c>
    </row>
    <row r="85" spans="1:8" x14ac:dyDescent="0.3">
      <c r="A85" t="s">
        <v>121</v>
      </c>
      <c r="B85" t="s">
        <v>107</v>
      </c>
      <c r="C85" t="s">
        <v>106</v>
      </c>
      <c r="E85" t="s">
        <v>60</v>
      </c>
      <c r="F85">
        <v>99841.843999999997</v>
      </c>
      <c r="G85">
        <v>1743165.6229999999</v>
      </c>
      <c r="H85" s="10">
        <f>PIB_ACTIVIDADES[[#This Row],[PIB]]/PIB_ACTIVIDADES[[#This Row],[PIB TOTAL]]</f>
        <v>5.727616623609838E-2</v>
      </c>
    </row>
    <row r="86" spans="1:8" x14ac:dyDescent="0.3">
      <c r="A86" t="s">
        <v>121</v>
      </c>
      <c r="B86" t="s">
        <v>107</v>
      </c>
      <c r="C86" t="s">
        <v>106</v>
      </c>
      <c r="E86" t="s">
        <v>61</v>
      </c>
      <c r="F86">
        <v>102712.757</v>
      </c>
      <c r="G86">
        <v>1865875.274</v>
      </c>
      <c r="H86" s="10">
        <f>PIB_ACTIVIDADES[[#This Row],[PIB]]/PIB_ACTIVIDADES[[#This Row],[PIB TOTAL]]</f>
        <v>5.5048029432218093E-2</v>
      </c>
    </row>
    <row r="87" spans="1:8" x14ac:dyDescent="0.3">
      <c r="A87" t="s">
        <v>121</v>
      </c>
      <c r="B87" t="s">
        <v>107</v>
      </c>
      <c r="C87" t="s">
        <v>106</v>
      </c>
      <c r="E87" t="s">
        <v>62</v>
      </c>
      <c r="F87">
        <v>94369.373000000007</v>
      </c>
      <c r="G87">
        <v>1928658.429</v>
      </c>
      <c r="H87" s="10">
        <f>PIB_ACTIVIDADES[[#This Row],[PIB]]/PIB_ACTIVIDADES[[#This Row],[PIB TOTAL]]</f>
        <v>4.8930060181226628E-2</v>
      </c>
    </row>
    <row r="88" spans="1:8" x14ac:dyDescent="0.3">
      <c r="A88" t="s">
        <v>121</v>
      </c>
      <c r="B88" t="s">
        <v>107</v>
      </c>
      <c r="C88" t="s">
        <v>106</v>
      </c>
      <c r="E88" t="s">
        <v>63</v>
      </c>
      <c r="F88">
        <v>95467.232000000004</v>
      </c>
      <c r="G88">
        <v>1991519.7</v>
      </c>
      <c r="H88" s="10">
        <f>PIB_ACTIVIDADES[[#This Row],[PIB]]/PIB_ACTIVIDADES[[#This Row],[PIB TOTAL]]</f>
        <v>4.7936875542832949E-2</v>
      </c>
    </row>
    <row r="89" spans="1:8" x14ac:dyDescent="0.3">
      <c r="A89" t="s">
        <v>121</v>
      </c>
      <c r="B89" t="s">
        <v>107</v>
      </c>
      <c r="C89" t="s">
        <v>106</v>
      </c>
      <c r="E89" t="s">
        <v>64</v>
      </c>
      <c r="F89">
        <v>117418.849</v>
      </c>
      <c r="G89">
        <v>2059995.5649999999</v>
      </c>
      <c r="H89" s="10">
        <f>PIB_ACTIVIDADES[[#This Row],[PIB]]/PIB_ACTIVIDADES[[#This Row],[PIB TOTAL]]</f>
        <v>5.6999563977216623E-2</v>
      </c>
    </row>
    <row r="90" spans="1:8" x14ac:dyDescent="0.3">
      <c r="A90" t="s">
        <v>122</v>
      </c>
      <c r="B90" t="s">
        <v>109</v>
      </c>
      <c r="C90" t="s">
        <v>106</v>
      </c>
      <c r="E90" t="s">
        <v>43</v>
      </c>
      <c r="F90">
        <v>451971.03200000001</v>
      </c>
      <c r="G90">
        <v>1289662.122</v>
      </c>
      <c r="H90" s="10">
        <f>PIB_ACTIVIDADES[[#This Row],[PIB]]/PIB_ACTIVIDADES[[#This Row],[PIB TOTAL]]</f>
        <v>0.35045693309119302</v>
      </c>
    </row>
    <row r="91" spans="1:8" x14ac:dyDescent="0.3">
      <c r="A91" t="s">
        <v>122</v>
      </c>
      <c r="B91" t="s">
        <v>109</v>
      </c>
      <c r="C91" t="s">
        <v>106</v>
      </c>
      <c r="E91" t="s">
        <v>44</v>
      </c>
      <c r="F91">
        <v>458926.99900000001</v>
      </c>
      <c r="G91">
        <v>1335507.8389999999</v>
      </c>
      <c r="H91" s="10">
        <f>PIB_ACTIVIDADES[[#This Row],[PIB]]/PIB_ACTIVIDADES[[#This Row],[PIB TOTAL]]</f>
        <v>0.34363482234865417</v>
      </c>
    </row>
    <row r="92" spans="1:8" x14ac:dyDescent="0.3">
      <c r="A92" t="s">
        <v>122</v>
      </c>
      <c r="B92" t="s">
        <v>109</v>
      </c>
      <c r="C92" t="s">
        <v>106</v>
      </c>
      <c r="E92" t="s">
        <v>45</v>
      </c>
      <c r="F92">
        <v>465634.04300000001</v>
      </c>
      <c r="G92">
        <v>1368861.9909999999</v>
      </c>
      <c r="H92" s="10">
        <f>PIB_ACTIVIDADES[[#This Row],[PIB]]/PIB_ACTIVIDADES[[#This Row],[PIB TOTAL]]</f>
        <v>0.3401614231832375</v>
      </c>
    </row>
    <row r="93" spans="1:8" x14ac:dyDescent="0.3">
      <c r="A93" t="s">
        <v>122</v>
      </c>
      <c r="B93" t="s">
        <v>109</v>
      </c>
      <c r="C93" t="s">
        <v>106</v>
      </c>
      <c r="E93" t="s">
        <v>46</v>
      </c>
      <c r="F93">
        <v>496629.00300000003</v>
      </c>
      <c r="G93">
        <v>1469583.898</v>
      </c>
      <c r="H93" s="10">
        <f>PIB_ACTIVIDADES[[#This Row],[PIB]]/PIB_ACTIVIDADES[[#This Row],[PIB TOTAL]]</f>
        <v>0.33793851693385935</v>
      </c>
    </row>
    <row r="94" spans="1:8" x14ac:dyDescent="0.3">
      <c r="A94" t="s">
        <v>122</v>
      </c>
      <c r="B94" t="s">
        <v>109</v>
      </c>
      <c r="C94" t="s">
        <v>106</v>
      </c>
      <c r="E94" t="s">
        <v>47</v>
      </c>
      <c r="F94">
        <v>499033.90399999998</v>
      </c>
      <c r="G94">
        <v>1532409.5149999999</v>
      </c>
      <c r="H94" s="10">
        <f>PIB_ACTIVIDADES[[#This Row],[PIB]]/PIB_ACTIVIDADES[[#This Row],[PIB TOTAL]]</f>
        <v>0.32565309671807929</v>
      </c>
    </row>
    <row r="95" spans="1:8" x14ac:dyDescent="0.3">
      <c r="A95" t="s">
        <v>122</v>
      </c>
      <c r="B95" t="s">
        <v>109</v>
      </c>
      <c r="C95" t="s">
        <v>106</v>
      </c>
      <c r="E95" t="s">
        <v>48</v>
      </c>
      <c r="F95">
        <v>491482.30800000002</v>
      </c>
      <c r="G95">
        <v>1531655.04</v>
      </c>
      <c r="H95" s="10">
        <f>PIB_ACTIVIDADES[[#This Row],[PIB]]/PIB_ACTIVIDADES[[#This Row],[PIB TOTAL]]</f>
        <v>0.3208831591740135</v>
      </c>
    </row>
    <row r="96" spans="1:8" x14ac:dyDescent="0.3">
      <c r="A96" t="s">
        <v>122</v>
      </c>
      <c r="B96" t="s">
        <v>109</v>
      </c>
      <c r="C96" t="s">
        <v>106</v>
      </c>
      <c r="E96" t="s">
        <v>49</v>
      </c>
      <c r="F96">
        <v>459462.93599999999</v>
      </c>
      <c r="G96">
        <v>1411038.652</v>
      </c>
      <c r="H96" s="10">
        <f>PIB_ACTIVIDADES[[#This Row],[PIB]]/PIB_ACTIVIDADES[[#This Row],[PIB TOTAL]]</f>
        <v>0.32562037570605118</v>
      </c>
    </row>
    <row r="97" spans="1:8" x14ac:dyDescent="0.3">
      <c r="A97" t="s">
        <v>122</v>
      </c>
      <c r="B97" t="s">
        <v>109</v>
      </c>
      <c r="C97" t="s">
        <v>106</v>
      </c>
      <c r="E97" t="s">
        <v>50</v>
      </c>
      <c r="F97">
        <v>492739.01899999997</v>
      </c>
      <c r="G97">
        <v>1509564.2709999999</v>
      </c>
      <c r="H97" s="10">
        <f>PIB_ACTIVIDADES[[#This Row],[PIB]]/PIB_ACTIVIDADES[[#This Row],[PIB TOTAL]]</f>
        <v>0.32641142114047822</v>
      </c>
    </row>
    <row r="98" spans="1:8" x14ac:dyDescent="0.3">
      <c r="A98" t="s">
        <v>122</v>
      </c>
      <c r="B98" t="s">
        <v>109</v>
      </c>
      <c r="C98" t="s">
        <v>106</v>
      </c>
      <c r="E98" t="s">
        <v>51</v>
      </c>
      <c r="F98">
        <v>502325.4</v>
      </c>
      <c r="G98">
        <v>1558834.9950000001</v>
      </c>
      <c r="H98" s="10">
        <f>PIB_ACTIVIDADES[[#This Row],[PIB]]/PIB_ACTIVIDADES[[#This Row],[PIB TOTAL]]</f>
        <v>0.32224411282221693</v>
      </c>
    </row>
    <row r="99" spans="1:8" x14ac:dyDescent="0.3">
      <c r="A99" t="s">
        <v>122</v>
      </c>
      <c r="B99" t="s">
        <v>109</v>
      </c>
      <c r="C99" t="s">
        <v>106</v>
      </c>
      <c r="E99" t="s">
        <v>52</v>
      </c>
      <c r="F99">
        <v>523686.98300000001</v>
      </c>
      <c r="G99">
        <v>1621930.2709999999</v>
      </c>
      <c r="H99" s="10">
        <f>PIB_ACTIVIDADES[[#This Row],[PIB]]/PIB_ACTIVIDADES[[#This Row],[PIB TOTAL]]</f>
        <v>0.32287885142998235</v>
      </c>
    </row>
    <row r="100" spans="1:8" x14ac:dyDescent="0.3">
      <c r="A100" t="s">
        <v>122</v>
      </c>
      <c r="B100" t="s">
        <v>109</v>
      </c>
      <c r="C100" t="s">
        <v>106</v>
      </c>
      <c r="E100" t="s">
        <v>53</v>
      </c>
      <c r="F100">
        <v>506686.47600000002</v>
      </c>
      <c r="G100">
        <v>1611568.7879999999</v>
      </c>
      <c r="H100" s="10">
        <f>PIB_ACTIVIDADES[[#This Row],[PIB]]/PIB_ACTIVIDADES[[#This Row],[PIB TOTAL]]</f>
        <v>0.3144057391610392</v>
      </c>
    </row>
    <row r="101" spans="1:8" x14ac:dyDescent="0.3">
      <c r="A101" t="s">
        <v>122</v>
      </c>
      <c r="B101" t="s">
        <v>109</v>
      </c>
      <c r="C101" t="s">
        <v>106</v>
      </c>
      <c r="E101" t="s">
        <v>54</v>
      </c>
      <c r="F101">
        <v>523435.38500000001</v>
      </c>
      <c r="G101">
        <v>1666974.7009999999</v>
      </c>
      <c r="H101" s="10">
        <f>PIB_ACTIVIDADES[[#This Row],[PIB]]/PIB_ACTIVIDADES[[#This Row],[PIB TOTAL]]</f>
        <v>0.31400319674077648</v>
      </c>
    </row>
    <row r="102" spans="1:8" x14ac:dyDescent="0.3">
      <c r="A102" t="s">
        <v>122</v>
      </c>
      <c r="B102" t="s">
        <v>109</v>
      </c>
      <c r="C102" t="s">
        <v>106</v>
      </c>
      <c r="E102" t="s">
        <v>55</v>
      </c>
      <c r="F102">
        <v>528637.05299999996</v>
      </c>
      <c r="G102">
        <v>1728163.9920000001</v>
      </c>
      <c r="H102" s="10">
        <f>PIB_ACTIVIDADES[[#This Row],[PIB]]/PIB_ACTIVIDADES[[#This Row],[PIB TOTAL]]</f>
        <v>0.30589519018285388</v>
      </c>
    </row>
    <row r="103" spans="1:8" x14ac:dyDescent="0.3">
      <c r="A103" t="s">
        <v>122</v>
      </c>
      <c r="B103" t="s">
        <v>109</v>
      </c>
      <c r="C103" t="s">
        <v>106</v>
      </c>
      <c r="E103" t="s">
        <v>56</v>
      </c>
      <c r="F103">
        <v>528350.02599999995</v>
      </c>
      <c r="G103">
        <v>1743960.8829999999</v>
      </c>
      <c r="H103" s="10">
        <f>PIB_ACTIVIDADES[[#This Row],[PIB]]/PIB_ACTIVIDADES[[#This Row],[PIB TOTAL]]</f>
        <v>0.30295979178794458</v>
      </c>
    </row>
    <row r="104" spans="1:8" x14ac:dyDescent="0.3">
      <c r="A104" t="s">
        <v>122</v>
      </c>
      <c r="B104" t="s">
        <v>109</v>
      </c>
      <c r="C104" t="s">
        <v>106</v>
      </c>
      <c r="E104" t="s">
        <v>57</v>
      </c>
      <c r="F104">
        <v>551301.38500000001</v>
      </c>
      <c r="G104">
        <v>1809343.5560000001</v>
      </c>
      <c r="H104" s="10">
        <f>PIB_ACTIVIDADES[[#This Row],[PIB]]/PIB_ACTIVIDADES[[#This Row],[PIB TOTAL]]</f>
        <v>0.30469690688195644</v>
      </c>
    </row>
    <row r="105" spans="1:8" x14ac:dyDescent="0.3">
      <c r="A105" t="s">
        <v>122</v>
      </c>
      <c r="B105" t="s">
        <v>109</v>
      </c>
      <c r="C105" t="s">
        <v>106</v>
      </c>
      <c r="E105" t="s">
        <v>58</v>
      </c>
      <c r="F105">
        <v>602392.11</v>
      </c>
      <c r="G105">
        <v>1909026.4350000001</v>
      </c>
      <c r="H105" s="10">
        <f>PIB_ACTIVIDADES[[#This Row],[PIB]]/PIB_ACTIVIDADES[[#This Row],[PIB TOTAL]]</f>
        <v>0.31554938106449004</v>
      </c>
    </row>
    <row r="106" spans="1:8" x14ac:dyDescent="0.3">
      <c r="A106" t="s">
        <v>122</v>
      </c>
      <c r="B106" t="s">
        <v>109</v>
      </c>
      <c r="C106" t="s">
        <v>106</v>
      </c>
      <c r="E106" t="s">
        <v>59</v>
      </c>
      <c r="F106">
        <v>605508.13</v>
      </c>
      <c r="G106">
        <v>1918825.0060000001</v>
      </c>
      <c r="H106" s="10">
        <f>PIB_ACTIVIDADES[[#This Row],[PIB]]/PIB_ACTIVIDADES[[#This Row],[PIB TOTAL]]</f>
        <v>0.31556193405163491</v>
      </c>
    </row>
    <row r="107" spans="1:8" x14ac:dyDescent="0.3">
      <c r="A107" t="s">
        <v>122</v>
      </c>
      <c r="B107" t="s">
        <v>109</v>
      </c>
      <c r="C107" t="s">
        <v>106</v>
      </c>
      <c r="E107" t="s">
        <v>60</v>
      </c>
      <c r="F107">
        <v>539617.02300000004</v>
      </c>
      <c r="G107">
        <v>1743165.6229999999</v>
      </c>
      <c r="H107" s="10">
        <f>PIB_ACTIVIDADES[[#This Row],[PIB]]/PIB_ACTIVIDADES[[#This Row],[PIB TOTAL]]</f>
        <v>0.30956153327032432</v>
      </c>
    </row>
    <row r="108" spans="1:8" x14ac:dyDescent="0.3">
      <c r="A108" t="s">
        <v>122</v>
      </c>
      <c r="B108" t="s">
        <v>109</v>
      </c>
      <c r="C108" t="s">
        <v>106</v>
      </c>
      <c r="E108" t="s">
        <v>61</v>
      </c>
      <c r="F108">
        <v>601642.26399999997</v>
      </c>
      <c r="G108">
        <v>1865875.274</v>
      </c>
      <c r="H108" s="10">
        <f>PIB_ACTIVIDADES[[#This Row],[PIB]]/PIB_ACTIVIDADES[[#This Row],[PIB TOTAL]]</f>
        <v>0.32244505963692832</v>
      </c>
    </row>
    <row r="109" spans="1:8" x14ac:dyDescent="0.3">
      <c r="A109" t="s">
        <v>122</v>
      </c>
      <c r="B109" t="s">
        <v>109</v>
      </c>
      <c r="C109" t="s">
        <v>106</v>
      </c>
      <c r="E109" t="s">
        <v>62</v>
      </c>
      <c r="F109">
        <v>639131.26599999995</v>
      </c>
      <c r="G109">
        <v>1928658.429</v>
      </c>
      <c r="H109" s="10">
        <f>PIB_ACTIVIDADES[[#This Row],[PIB]]/PIB_ACTIVIDADES[[#This Row],[PIB TOTAL]]</f>
        <v>0.33138644790067173</v>
      </c>
    </row>
    <row r="110" spans="1:8" x14ac:dyDescent="0.3">
      <c r="A110" t="s">
        <v>122</v>
      </c>
      <c r="B110" t="s">
        <v>109</v>
      </c>
      <c r="C110" t="s">
        <v>106</v>
      </c>
      <c r="E110" t="s">
        <v>63</v>
      </c>
      <c r="F110">
        <v>657361.12199999997</v>
      </c>
      <c r="G110">
        <v>1991519.7</v>
      </c>
      <c r="H110" s="10">
        <f>PIB_ACTIVIDADES[[#This Row],[PIB]]/PIB_ACTIVIDADES[[#This Row],[PIB TOTAL]]</f>
        <v>0.33008015034950444</v>
      </c>
    </row>
    <row r="111" spans="1:8" x14ac:dyDescent="0.3">
      <c r="A111" t="s">
        <v>122</v>
      </c>
      <c r="B111" t="s">
        <v>109</v>
      </c>
      <c r="C111" t="s">
        <v>106</v>
      </c>
      <c r="E111" t="s">
        <v>64</v>
      </c>
      <c r="F111">
        <v>662170.72699999996</v>
      </c>
      <c r="G111">
        <v>2059995.5649999999</v>
      </c>
      <c r="H111" s="10">
        <f>PIB_ACTIVIDADES[[#This Row],[PIB]]/PIB_ACTIVIDADES[[#This Row],[PIB TOTAL]]</f>
        <v>0.32144279252368196</v>
      </c>
    </row>
    <row r="112" spans="1:8" hidden="1" x14ac:dyDescent="0.3">
      <c r="A112" t="s">
        <v>123</v>
      </c>
      <c r="B112" t="s">
        <v>124</v>
      </c>
      <c r="C112" t="s">
        <v>95</v>
      </c>
      <c r="D112" t="s">
        <v>99</v>
      </c>
      <c r="E112" t="s">
        <v>43</v>
      </c>
      <c r="F112">
        <v>106297.508</v>
      </c>
      <c r="G112">
        <v>1289662.122</v>
      </c>
      <c r="H112" s="10">
        <f>PIB_ACTIVIDADES[[#This Row],[PIB]]/PIB_ACTIVIDADES[[#This Row],[PIB TOTAL]]</f>
        <v>8.2422757237496036E-2</v>
      </c>
    </row>
    <row r="113" spans="1:8" hidden="1" x14ac:dyDescent="0.3">
      <c r="A113" t="s">
        <v>123</v>
      </c>
      <c r="B113" t="s">
        <v>124</v>
      </c>
      <c r="C113" t="s">
        <v>95</v>
      </c>
      <c r="D113" t="s">
        <v>99</v>
      </c>
      <c r="E113" t="s">
        <v>44</v>
      </c>
      <c r="F113">
        <v>113614.15399999999</v>
      </c>
      <c r="G113">
        <v>1335507.8389999999</v>
      </c>
      <c r="H113" s="10">
        <f>PIB_ACTIVIDADES[[#This Row],[PIB]]/PIB_ACTIVIDADES[[#This Row],[PIB TOTAL]]</f>
        <v>8.5071873546674101E-2</v>
      </c>
    </row>
    <row r="114" spans="1:8" hidden="1" x14ac:dyDescent="0.3">
      <c r="A114" t="s">
        <v>123</v>
      </c>
      <c r="B114" t="s">
        <v>124</v>
      </c>
      <c r="C114" t="s">
        <v>95</v>
      </c>
      <c r="D114" t="s">
        <v>99</v>
      </c>
      <c r="E114" t="s">
        <v>45</v>
      </c>
      <c r="F114">
        <v>117285.43</v>
      </c>
      <c r="G114">
        <v>1368861.9909999999</v>
      </c>
      <c r="H114" s="10">
        <f>PIB_ACTIVIDADES[[#This Row],[PIB]]/PIB_ACTIVIDADES[[#This Row],[PIB TOTAL]]</f>
        <v>8.5680974978579849E-2</v>
      </c>
    </row>
    <row r="115" spans="1:8" hidden="1" x14ac:dyDescent="0.3">
      <c r="A115" t="s">
        <v>123</v>
      </c>
      <c r="B115" t="s">
        <v>124</v>
      </c>
      <c r="C115" t="s">
        <v>95</v>
      </c>
      <c r="D115" t="s">
        <v>99</v>
      </c>
      <c r="E115" t="s">
        <v>46</v>
      </c>
      <c r="F115">
        <v>127357.675</v>
      </c>
      <c r="G115">
        <v>1469583.898</v>
      </c>
      <c r="H115" s="10">
        <f>PIB_ACTIVIDADES[[#This Row],[PIB]]/PIB_ACTIVIDADES[[#This Row],[PIB TOTAL]]</f>
        <v>8.6662405034054063E-2</v>
      </c>
    </row>
    <row r="116" spans="1:8" hidden="1" x14ac:dyDescent="0.3">
      <c r="A116" t="s">
        <v>123</v>
      </c>
      <c r="B116" t="s">
        <v>124</v>
      </c>
      <c r="C116" t="s">
        <v>95</v>
      </c>
      <c r="D116" t="s">
        <v>99</v>
      </c>
      <c r="E116" t="s">
        <v>47</v>
      </c>
      <c r="F116">
        <v>133262.15900000001</v>
      </c>
      <c r="G116">
        <v>1532409.5149999999</v>
      </c>
      <c r="H116" s="10">
        <f>PIB_ACTIVIDADES[[#This Row],[PIB]]/PIB_ACTIVIDADES[[#This Row],[PIB TOTAL]]</f>
        <v>8.6962497749826367E-2</v>
      </c>
    </row>
    <row r="117" spans="1:8" hidden="1" x14ac:dyDescent="0.3">
      <c r="A117" t="s">
        <v>123</v>
      </c>
      <c r="B117" t="s">
        <v>124</v>
      </c>
      <c r="C117" t="s">
        <v>95</v>
      </c>
      <c r="D117" t="s">
        <v>99</v>
      </c>
      <c r="E117" t="s">
        <v>48</v>
      </c>
      <c r="F117">
        <v>135645.97200000001</v>
      </c>
      <c r="G117">
        <v>1531655.04</v>
      </c>
      <c r="H117" s="10">
        <f>PIB_ACTIVIDADES[[#This Row],[PIB]]/PIB_ACTIVIDADES[[#This Row],[PIB TOTAL]]</f>
        <v>8.856169859239324E-2</v>
      </c>
    </row>
    <row r="118" spans="1:8" hidden="1" x14ac:dyDescent="0.3">
      <c r="A118" t="s">
        <v>123</v>
      </c>
      <c r="B118" t="s">
        <v>124</v>
      </c>
      <c r="C118" t="s">
        <v>95</v>
      </c>
      <c r="D118" t="s">
        <v>99</v>
      </c>
      <c r="E118" t="s">
        <v>49</v>
      </c>
      <c r="F118">
        <v>115960.432</v>
      </c>
      <c r="G118">
        <v>1411038.652</v>
      </c>
      <c r="H118" s="10">
        <f>PIB_ACTIVIDADES[[#This Row],[PIB]]/PIB_ACTIVIDADES[[#This Row],[PIB TOTAL]]</f>
        <v>8.2180903999786392E-2</v>
      </c>
    </row>
    <row r="119" spans="1:8" hidden="1" x14ac:dyDescent="0.3">
      <c r="A119" t="s">
        <v>123</v>
      </c>
      <c r="B119" t="s">
        <v>124</v>
      </c>
      <c r="C119" t="s">
        <v>95</v>
      </c>
      <c r="D119" t="s">
        <v>99</v>
      </c>
      <c r="E119" t="s">
        <v>50</v>
      </c>
      <c r="F119">
        <v>130362.985</v>
      </c>
      <c r="G119">
        <v>1509564.2709999999</v>
      </c>
      <c r="H119" s="10">
        <f>PIB_ACTIVIDADES[[#This Row],[PIB]]/PIB_ACTIVIDADES[[#This Row],[PIB TOTAL]]</f>
        <v>8.6358022314374186E-2</v>
      </c>
    </row>
    <row r="120" spans="1:8" hidden="1" x14ac:dyDescent="0.3">
      <c r="A120" t="s">
        <v>123</v>
      </c>
      <c r="B120" t="s">
        <v>124</v>
      </c>
      <c r="C120" t="s">
        <v>95</v>
      </c>
      <c r="D120" t="s">
        <v>99</v>
      </c>
      <c r="E120" t="s">
        <v>51</v>
      </c>
      <c r="F120">
        <v>143260.52600000001</v>
      </c>
      <c r="G120">
        <v>1558834.9950000001</v>
      </c>
      <c r="H120" s="10">
        <f>PIB_ACTIVIDADES[[#This Row],[PIB]]/PIB_ACTIVIDADES[[#This Row],[PIB TOTAL]]</f>
        <v>9.1902302975947758E-2</v>
      </c>
    </row>
    <row r="121" spans="1:8" hidden="1" x14ac:dyDescent="0.3">
      <c r="A121" t="s">
        <v>123</v>
      </c>
      <c r="B121" t="s">
        <v>124</v>
      </c>
      <c r="C121" t="s">
        <v>95</v>
      </c>
      <c r="D121" t="s">
        <v>99</v>
      </c>
      <c r="E121" t="s">
        <v>52</v>
      </c>
      <c r="F121">
        <v>151318.073</v>
      </c>
      <c r="G121">
        <v>1621930.2709999999</v>
      </c>
      <c r="H121" s="10">
        <f>PIB_ACTIVIDADES[[#This Row],[PIB]]/PIB_ACTIVIDADES[[#This Row],[PIB TOTAL]]</f>
        <v>9.3295054482647369E-2</v>
      </c>
    </row>
    <row r="122" spans="1:8" hidden="1" x14ac:dyDescent="0.3">
      <c r="A122" t="s">
        <v>123</v>
      </c>
      <c r="B122" t="s">
        <v>124</v>
      </c>
      <c r="C122" t="s">
        <v>95</v>
      </c>
      <c r="D122" t="s">
        <v>99</v>
      </c>
      <c r="E122" t="s">
        <v>53</v>
      </c>
      <c r="F122">
        <v>151816.114</v>
      </c>
      <c r="G122">
        <v>1611568.7879999999</v>
      </c>
      <c r="H122" s="10">
        <f>PIB_ACTIVIDADES[[#This Row],[PIB]]/PIB_ACTIVIDADES[[#This Row],[PIB TOTAL]]</f>
        <v>9.4203930437501124E-2</v>
      </c>
    </row>
    <row r="123" spans="1:8" hidden="1" x14ac:dyDescent="0.3">
      <c r="A123" t="s">
        <v>123</v>
      </c>
      <c r="B123" t="s">
        <v>124</v>
      </c>
      <c r="C123" t="s">
        <v>95</v>
      </c>
      <c r="D123" t="s">
        <v>99</v>
      </c>
      <c r="E123" t="s">
        <v>54</v>
      </c>
      <c r="F123">
        <v>162919.66200000001</v>
      </c>
      <c r="G123">
        <v>1666974.7009999999</v>
      </c>
      <c r="H123" s="10">
        <f>PIB_ACTIVIDADES[[#This Row],[PIB]]/PIB_ACTIVIDADES[[#This Row],[PIB TOTAL]]</f>
        <v>9.7733733992643249E-2</v>
      </c>
    </row>
    <row r="124" spans="1:8" hidden="1" x14ac:dyDescent="0.3">
      <c r="A124" t="s">
        <v>123</v>
      </c>
      <c r="B124" t="s">
        <v>124</v>
      </c>
      <c r="C124" t="s">
        <v>95</v>
      </c>
      <c r="D124" t="s">
        <v>99</v>
      </c>
      <c r="E124" t="s">
        <v>55</v>
      </c>
      <c r="F124">
        <v>165181.43799999999</v>
      </c>
      <c r="G124">
        <v>1728163.9920000001</v>
      </c>
      <c r="H124" s="10">
        <f>PIB_ACTIVIDADES[[#This Row],[PIB]]/PIB_ACTIVIDADES[[#This Row],[PIB TOTAL]]</f>
        <v>9.5582038952701426E-2</v>
      </c>
    </row>
    <row r="125" spans="1:8" hidden="1" x14ac:dyDescent="0.3">
      <c r="A125" t="s">
        <v>123</v>
      </c>
      <c r="B125" t="s">
        <v>124</v>
      </c>
      <c r="C125" t="s">
        <v>95</v>
      </c>
      <c r="D125" t="s">
        <v>99</v>
      </c>
      <c r="E125" t="s">
        <v>56</v>
      </c>
      <c r="F125">
        <v>166962.307</v>
      </c>
      <c r="G125">
        <v>1743960.8829999999</v>
      </c>
      <c r="H125" s="10">
        <f>PIB_ACTIVIDADES[[#This Row],[PIB]]/PIB_ACTIVIDADES[[#This Row],[PIB TOTAL]]</f>
        <v>9.5737415114946711E-2</v>
      </c>
    </row>
    <row r="126" spans="1:8" hidden="1" x14ac:dyDescent="0.3">
      <c r="A126" t="s">
        <v>123</v>
      </c>
      <c r="B126" t="s">
        <v>124</v>
      </c>
      <c r="C126" t="s">
        <v>95</v>
      </c>
      <c r="D126" t="s">
        <v>99</v>
      </c>
      <c r="E126" t="s">
        <v>57</v>
      </c>
      <c r="F126">
        <v>168878.67199999999</v>
      </c>
      <c r="G126">
        <v>1809343.5560000001</v>
      </c>
      <c r="H126" s="10">
        <f>PIB_ACTIVIDADES[[#This Row],[PIB]]/PIB_ACTIVIDADES[[#This Row],[PIB TOTAL]]</f>
        <v>9.3336984808649562E-2</v>
      </c>
    </row>
    <row r="127" spans="1:8" hidden="1" x14ac:dyDescent="0.3">
      <c r="A127" t="s">
        <v>123</v>
      </c>
      <c r="B127" t="s">
        <v>124</v>
      </c>
      <c r="C127" t="s">
        <v>95</v>
      </c>
      <c r="D127" t="s">
        <v>99</v>
      </c>
      <c r="E127" t="s">
        <v>58</v>
      </c>
      <c r="F127">
        <v>173152.00099999999</v>
      </c>
      <c r="G127">
        <v>1909026.4350000001</v>
      </c>
      <c r="H127" s="10">
        <f>PIB_ACTIVIDADES[[#This Row],[PIB]]/PIB_ACTIVIDADES[[#This Row],[PIB TOTAL]]</f>
        <v>9.0701730382272042E-2</v>
      </c>
    </row>
    <row r="128" spans="1:8" hidden="1" x14ac:dyDescent="0.3">
      <c r="A128" t="s">
        <v>123</v>
      </c>
      <c r="B128" t="s">
        <v>124</v>
      </c>
      <c r="C128" t="s">
        <v>95</v>
      </c>
      <c r="D128" t="s">
        <v>99</v>
      </c>
      <c r="E128" t="s">
        <v>59</v>
      </c>
      <c r="F128">
        <v>169050.95300000001</v>
      </c>
      <c r="G128">
        <v>1918825.0060000001</v>
      </c>
      <c r="H128" s="10">
        <f>PIB_ACTIVIDADES[[#This Row],[PIB]]/PIB_ACTIVIDADES[[#This Row],[PIB TOTAL]]</f>
        <v>8.8101287231192149E-2</v>
      </c>
    </row>
    <row r="129" spans="1:8" hidden="1" x14ac:dyDescent="0.3">
      <c r="A129" t="s">
        <v>123</v>
      </c>
      <c r="B129" t="s">
        <v>124</v>
      </c>
      <c r="C129" t="s">
        <v>95</v>
      </c>
      <c r="D129" t="s">
        <v>99</v>
      </c>
      <c r="E129" t="s">
        <v>60</v>
      </c>
      <c r="F129">
        <v>155964.24</v>
      </c>
      <c r="G129">
        <v>1743165.6229999999</v>
      </c>
      <c r="H129" s="10">
        <f>PIB_ACTIVIDADES[[#This Row],[PIB]]/PIB_ACTIVIDADES[[#This Row],[PIB TOTAL]]</f>
        <v>8.9471842458425987E-2</v>
      </c>
    </row>
    <row r="130" spans="1:8" hidden="1" x14ac:dyDescent="0.3">
      <c r="A130" t="s">
        <v>123</v>
      </c>
      <c r="B130" t="s">
        <v>124</v>
      </c>
      <c r="C130" t="s">
        <v>95</v>
      </c>
      <c r="D130" t="s">
        <v>99</v>
      </c>
      <c r="E130" t="s">
        <v>61</v>
      </c>
      <c r="F130">
        <v>170397.68799999999</v>
      </c>
      <c r="G130">
        <v>1865875.274</v>
      </c>
      <c r="H130" s="10">
        <f>PIB_ACTIVIDADES[[#This Row],[PIB]]/PIB_ACTIVIDADES[[#This Row],[PIB TOTAL]]</f>
        <v>9.1323193127859623E-2</v>
      </c>
    </row>
    <row r="131" spans="1:8" hidden="1" x14ac:dyDescent="0.3">
      <c r="A131" t="s">
        <v>123</v>
      </c>
      <c r="B131" t="s">
        <v>124</v>
      </c>
      <c r="C131" t="s">
        <v>95</v>
      </c>
      <c r="D131" t="s">
        <v>99</v>
      </c>
      <c r="E131" t="s">
        <v>62</v>
      </c>
      <c r="F131">
        <v>182604.18900000001</v>
      </c>
      <c r="G131">
        <v>1928658.429</v>
      </c>
      <c r="H131" s="10">
        <f>PIB_ACTIVIDADES[[#This Row],[PIB]]/PIB_ACTIVIDADES[[#This Row],[PIB TOTAL]]</f>
        <v>9.4679382442374407E-2</v>
      </c>
    </row>
    <row r="132" spans="1:8" hidden="1" x14ac:dyDescent="0.3">
      <c r="A132" t="s">
        <v>123</v>
      </c>
      <c r="B132" t="s">
        <v>124</v>
      </c>
      <c r="C132" t="s">
        <v>95</v>
      </c>
      <c r="D132" t="s">
        <v>99</v>
      </c>
      <c r="E132" t="s">
        <v>63</v>
      </c>
      <c r="F132">
        <v>192037.88099999999</v>
      </c>
      <c r="G132">
        <v>1991519.7</v>
      </c>
      <c r="H132" s="10">
        <f>PIB_ACTIVIDADES[[#This Row],[PIB]]/PIB_ACTIVIDADES[[#This Row],[PIB TOTAL]]</f>
        <v>9.642780887379622E-2</v>
      </c>
    </row>
    <row r="133" spans="1:8" hidden="1" x14ac:dyDescent="0.3">
      <c r="A133" t="s">
        <v>123</v>
      </c>
      <c r="B133" t="s">
        <v>124</v>
      </c>
      <c r="C133" t="s">
        <v>95</v>
      </c>
      <c r="D133" t="s">
        <v>99</v>
      </c>
      <c r="E133" t="s">
        <v>64</v>
      </c>
      <c r="F133">
        <v>194918.38</v>
      </c>
      <c r="G133">
        <v>2059995.5649999999</v>
      </c>
      <c r="H133" s="10">
        <f>PIB_ACTIVIDADES[[#This Row],[PIB]]/PIB_ACTIVIDADES[[#This Row],[PIB TOTAL]]</f>
        <v>9.4620776525798006E-2</v>
      </c>
    </row>
    <row r="134" spans="1:8" hidden="1" x14ac:dyDescent="0.3">
      <c r="A134" t="s">
        <v>125</v>
      </c>
      <c r="B134" t="s">
        <v>126</v>
      </c>
      <c r="C134" t="s">
        <v>95</v>
      </c>
      <c r="D134" t="s">
        <v>99</v>
      </c>
      <c r="E134" t="s">
        <v>43</v>
      </c>
      <c r="F134">
        <v>106239.361</v>
      </c>
      <c r="G134">
        <v>1289662.122</v>
      </c>
      <c r="H134" s="10">
        <f>PIB_ACTIVIDADES[[#This Row],[PIB]]/PIB_ACTIVIDADES[[#This Row],[PIB TOTAL]]</f>
        <v>8.237767023446782E-2</v>
      </c>
    </row>
    <row r="135" spans="1:8" hidden="1" x14ac:dyDescent="0.3">
      <c r="A135" t="s">
        <v>125</v>
      </c>
      <c r="B135" t="s">
        <v>126</v>
      </c>
      <c r="C135" t="s">
        <v>95</v>
      </c>
      <c r="D135" t="s">
        <v>99</v>
      </c>
      <c r="E135" t="s">
        <v>44</v>
      </c>
      <c r="F135">
        <v>111299.53200000001</v>
      </c>
      <c r="G135">
        <v>1335507.8389999999</v>
      </c>
      <c r="H135" s="10">
        <f>PIB_ACTIVIDADES[[#This Row],[PIB]]/PIB_ACTIVIDADES[[#This Row],[PIB TOTAL]]</f>
        <v>8.3338733588668973E-2</v>
      </c>
    </row>
    <row r="136" spans="1:8" hidden="1" x14ac:dyDescent="0.3">
      <c r="A136" t="s">
        <v>125</v>
      </c>
      <c r="B136" t="s">
        <v>126</v>
      </c>
      <c r="C136" t="s">
        <v>95</v>
      </c>
      <c r="D136" t="s">
        <v>99</v>
      </c>
      <c r="E136" t="s">
        <v>45</v>
      </c>
      <c r="F136">
        <v>115009.659</v>
      </c>
      <c r="G136">
        <v>1368861.9909999999</v>
      </c>
      <c r="H136" s="10">
        <f>PIB_ACTIVIDADES[[#This Row],[PIB]]/PIB_ACTIVIDADES[[#This Row],[PIB TOTAL]]</f>
        <v>8.4018447262153545E-2</v>
      </c>
    </row>
    <row r="137" spans="1:8" hidden="1" x14ac:dyDescent="0.3">
      <c r="A137" t="s">
        <v>125</v>
      </c>
      <c r="B137" t="s">
        <v>126</v>
      </c>
      <c r="C137" t="s">
        <v>95</v>
      </c>
      <c r="D137" t="s">
        <v>99</v>
      </c>
      <c r="E137" t="s">
        <v>46</v>
      </c>
      <c r="F137">
        <v>123299.47500000001</v>
      </c>
      <c r="G137">
        <v>1469583.898</v>
      </c>
      <c r="H137" s="10">
        <f>PIB_ACTIVIDADES[[#This Row],[PIB]]/PIB_ACTIVIDADES[[#This Row],[PIB TOTAL]]</f>
        <v>8.3900943095390396E-2</v>
      </c>
    </row>
    <row r="138" spans="1:8" hidden="1" x14ac:dyDescent="0.3">
      <c r="A138" t="s">
        <v>125</v>
      </c>
      <c r="B138" t="s">
        <v>126</v>
      </c>
      <c r="C138" t="s">
        <v>95</v>
      </c>
      <c r="D138" t="s">
        <v>99</v>
      </c>
      <c r="E138" t="s">
        <v>47</v>
      </c>
      <c r="F138">
        <v>128812.13800000001</v>
      </c>
      <c r="G138">
        <v>1532409.5149999999</v>
      </c>
      <c r="H138" s="10">
        <f>PIB_ACTIVIDADES[[#This Row],[PIB]]/PIB_ACTIVIDADES[[#This Row],[PIB TOTAL]]</f>
        <v>8.4058560547374317E-2</v>
      </c>
    </row>
    <row r="139" spans="1:8" hidden="1" x14ac:dyDescent="0.3">
      <c r="A139" t="s">
        <v>125</v>
      </c>
      <c r="B139" t="s">
        <v>126</v>
      </c>
      <c r="C139" t="s">
        <v>95</v>
      </c>
      <c r="D139" t="s">
        <v>99</v>
      </c>
      <c r="E139" t="s">
        <v>48</v>
      </c>
      <c r="F139">
        <v>128932.781</v>
      </c>
      <c r="G139">
        <v>1531655.04</v>
      </c>
      <c r="H139" s="10">
        <f>PIB_ACTIVIDADES[[#This Row],[PIB]]/PIB_ACTIVIDADES[[#This Row],[PIB TOTAL]]</f>
        <v>8.4178733221809521E-2</v>
      </c>
    </row>
    <row r="140" spans="1:8" hidden="1" x14ac:dyDescent="0.3">
      <c r="A140" t="s">
        <v>125</v>
      </c>
      <c r="B140" t="s">
        <v>126</v>
      </c>
      <c r="C140" t="s">
        <v>95</v>
      </c>
      <c r="D140" t="s">
        <v>99</v>
      </c>
      <c r="E140" t="s">
        <v>49</v>
      </c>
      <c r="F140">
        <v>108140.678</v>
      </c>
      <c r="G140">
        <v>1411038.652</v>
      </c>
      <c r="H140" s="10">
        <f>PIB_ACTIVIDADES[[#This Row],[PIB]]/PIB_ACTIVIDADES[[#This Row],[PIB TOTAL]]</f>
        <v>7.6639061479089804E-2</v>
      </c>
    </row>
    <row r="141" spans="1:8" hidden="1" x14ac:dyDescent="0.3">
      <c r="A141" t="s">
        <v>125</v>
      </c>
      <c r="B141" t="s">
        <v>126</v>
      </c>
      <c r="C141" t="s">
        <v>95</v>
      </c>
      <c r="D141" t="s">
        <v>99</v>
      </c>
      <c r="E141" t="s">
        <v>50</v>
      </c>
      <c r="F141">
        <v>124050.645</v>
      </c>
      <c r="G141">
        <v>1509564.2709999999</v>
      </c>
      <c r="H141" s="10">
        <f>PIB_ACTIVIDADES[[#This Row],[PIB]]/PIB_ACTIVIDADES[[#This Row],[PIB TOTAL]]</f>
        <v>8.2176458056882562E-2</v>
      </c>
    </row>
    <row r="142" spans="1:8" hidden="1" x14ac:dyDescent="0.3">
      <c r="A142" t="s">
        <v>125</v>
      </c>
      <c r="B142" t="s">
        <v>126</v>
      </c>
      <c r="C142" t="s">
        <v>95</v>
      </c>
      <c r="D142" t="s">
        <v>99</v>
      </c>
      <c r="E142" t="s">
        <v>51</v>
      </c>
      <c r="F142">
        <v>129812.58500000001</v>
      </c>
      <c r="G142">
        <v>1558834.9950000001</v>
      </c>
      <c r="H142" s="10">
        <f>PIB_ACTIVIDADES[[#This Row],[PIB]]/PIB_ACTIVIDADES[[#This Row],[PIB TOTAL]]</f>
        <v>8.32753854105001E-2</v>
      </c>
    </row>
    <row r="143" spans="1:8" hidden="1" x14ac:dyDescent="0.3">
      <c r="A143" t="s">
        <v>125</v>
      </c>
      <c r="B143" t="s">
        <v>126</v>
      </c>
      <c r="C143" t="s">
        <v>95</v>
      </c>
      <c r="D143" t="s">
        <v>99</v>
      </c>
      <c r="E143" t="s">
        <v>52</v>
      </c>
      <c r="F143">
        <v>138573.81200000001</v>
      </c>
      <c r="G143">
        <v>1621930.2709999999</v>
      </c>
      <c r="H143" s="10">
        <f>PIB_ACTIVIDADES[[#This Row],[PIB]]/PIB_ACTIVIDADES[[#This Row],[PIB TOTAL]]</f>
        <v>8.5437589073766057E-2</v>
      </c>
    </row>
    <row r="144" spans="1:8" hidden="1" x14ac:dyDescent="0.3">
      <c r="A144" t="s">
        <v>125</v>
      </c>
      <c r="B144" t="s">
        <v>126</v>
      </c>
      <c r="C144" t="s">
        <v>95</v>
      </c>
      <c r="D144" t="s">
        <v>99</v>
      </c>
      <c r="E144" t="s">
        <v>53</v>
      </c>
      <c r="F144">
        <v>133133.34</v>
      </c>
      <c r="G144">
        <v>1611568.7879999999</v>
      </c>
      <c r="H144" s="10">
        <f>PIB_ACTIVIDADES[[#This Row],[PIB]]/PIB_ACTIVIDADES[[#This Row],[PIB TOTAL]]</f>
        <v>8.2611019145650028E-2</v>
      </c>
    </row>
    <row r="145" spans="1:8" hidden="1" x14ac:dyDescent="0.3">
      <c r="A145" t="s">
        <v>125</v>
      </c>
      <c r="B145" t="s">
        <v>126</v>
      </c>
      <c r="C145" t="s">
        <v>95</v>
      </c>
      <c r="D145" t="s">
        <v>99</v>
      </c>
      <c r="E145" t="s">
        <v>54</v>
      </c>
      <c r="F145">
        <v>137215.74100000001</v>
      </c>
      <c r="G145">
        <v>1666974.7009999999</v>
      </c>
      <c r="H145" s="10">
        <f>PIB_ACTIVIDADES[[#This Row],[PIB]]/PIB_ACTIVIDADES[[#This Row],[PIB TOTAL]]</f>
        <v>8.2314231234394727E-2</v>
      </c>
    </row>
    <row r="146" spans="1:8" hidden="1" x14ac:dyDescent="0.3">
      <c r="A146" t="s">
        <v>125</v>
      </c>
      <c r="B146" t="s">
        <v>126</v>
      </c>
      <c r="C146" t="s">
        <v>95</v>
      </c>
      <c r="D146" t="s">
        <v>99</v>
      </c>
      <c r="E146" t="s">
        <v>55</v>
      </c>
      <c r="F146">
        <v>139218.38399999999</v>
      </c>
      <c r="G146">
        <v>1728163.9920000001</v>
      </c>
      <c r="H146" s="10">
        <f>PIB_ACTIVIDADES[[#This Row],[PIB]]/PIB_ACTIVIDADES[[#This Row],[PIB TOTAL]]</f>
        <v>8.0558549214350239E-2</v>
      </c>
    </row>
    <row r="147" spans="1:8" hidden="1" x14ac:dyDescent="0.3">
      <c r="A147" t="s">
        <v>125</v>
      </c>
      <c r="B147" t="s">
        <v>126</v>
      </c>
      <c r="C147" t="s">
        <v>95</v>
      </c>
      <c r="D147" t="s">
        <v>99</v>
      </c>
      <c r="E147" t="s">
        <v>56</v>
      </c>
      <c r="F147">
        <v>140973.94500000001</v>
      </c>
      <c r="G147">
        <v>1743960.8829999999</v>
      </c>
      <c r="H147" s="10">
        <f>PIB_ACTIVIDADES[[#This Row],[PIB]]/PIB_ACTIVIDADES[[#This Row],[PIB TOTAL]]</f>
        <v>8.0835497157191696E-2</v>
      </c>
    </row>
    <row r="148" spans="1:8" hidden="1" x14ac:dyDescent="0.3">
      <c r="A148" t="s">
        <v>125</v>
      </c>
      <c r="B148" t="s">
        <v>126</v>
      </c>
      <c r="C148" t="s">
        <v>95</v>
      </c>
      <c r="D148" t="s">
        <v>99</v>
      </c>
      <c r="E148" t="s">
        <v>57</v>
      </c>
      <c r="F148">
        <v>142583.125</v>
      </c>
      <c r="G148">
        <v>1809343.5560000001</v>
      </c>
      <c r="H148" s="10">
        <f>PIB_ACTIVIDADES[[#This Row],[PIB]]/PIB_ACTIVIDADES[[#This Row],[PIB TOTAL]]</f>
        <v>7.8803787443892159E-2</v>
      </c>
    </row>
    <row r="149" spans="1:8" hidden="1" x14ac:dyDescent="0.3">
      <c r="A149" t="s">
        <v>125</v>
      </c>
      <c r="B149" t="s">
        <v>126</v>
      </c>
      <c r="C149" t="s">
        <v>95</v>
      </c>
      <c r="D149" t="s">
        <v>99</v>
      </c>
      <c r="E149" t="s">
        <v>58</v>
      </c>
      <c r="F149">
        <v>143170.766</v>
      </c>
      <c r="G149">
        <v>1909026.4350000001</v>
      </c>
      <c r="H149" s="10">
        <f>PIB_ACTIVIDADES[[#This Row],[PIB]]/PIB_ACTIVIDADES[[#This Row],[PIB TOTAL]]</f>
        <v>7.4996743562642174E-2</v>
      </c>
    </row>
    <row r="150" spans="1:8" hidden="1" x14ac:dyDescent="0.3">
      <c r="A150" t="s">
        <v>125</v>
      </c>
      <c r="B150" t="s">
        <v>126</v>
      </c>
      <c r="C150" t="s">
        <v>95</v>
      </c>
      <c r="D150" t="s">
        <v>99</v>
      </c>
      <c r="E150" t="s">
        <v>59</v>
      </c>
      <c r="F150">
        <v>141000.929</v>
      </c>
      <c r="G150">
        <v>1918825.0060000001</v>
      </c>
      <c r="H150" s="10">
        <f>PIB_ACTIVIDADES[[#This Row],[PIB]]/PIB_ACTIVIDADES[[#This Row],[PIB TOTAL]]</f>
        <v>7.3482953661278272E-2</v>
      </c>
    </row>
    <row r="151" spans="1:8" hidden="1" x14ac:dyDescent="0.3">
      <c r="A151" t="s">
        <v>125</v>
      </c>
      <c r="B151" t="s">
        <v>126</v>
      </c>
      <c r="C151" t="s">
        <v>95</v>
      </c>
      <c r="D151" t="s">
        <v>99</v>
      </c>
      <c r="E151" t="s">
        <v>60</v>
      </c>
      <c r="F151">
        <v>133159.84400000001</v>
      </c>
      <c r="G151">
        <v>1743165.6229999999</v>
      </c>
      <c r="H151" s="10">
        <f>PIB_ACTIVIDADES[[#This Row],[PIB]]/PIB_ACTIVIDADES[[#This Row],[PIB TOTAL]]</f>
        <v>7.6389668453208145E-2</v>
      </c>
    </row>
    <row r="152" spans="1:8" hidden="1" x14ac:dyDescent="0.3">
      <c r="A152" t="s">
        <v>125</v>
      </c>
      <c r="B152" t="s">
        <v>126</v>
      </c>
      <c r="C152" t="s">
        <v>95</v>
      </c>
      <c r="D152" t="s">
        <v>99</v>
      </c>
      <c r="E152" t="s">
        <v>61</v>
      </c>
      <c r="F152">
        <v>141074.44</v>
      </c>
      <c r="G152">
        <v>1865875.274</v>
      </c>
      <c r="H152" s="10">
        <f>PIB_ACTIVIDADES[[#This Row],[PIB]]/PIB_ACTIVIDADES[[#This Row],[PIB TOTAL]]</f>
        <v>7.5607647502380707E-2</v>
      </c>
    </row>
    <row r="153" spans="1:8" hidden="1" x14ac:dyDescent="0.3">
      <c r="A153" t="s">
        <v>125</v>
      </c>
      <c r="B153" t="s">
        <v>126</v>
      </c>
      <c r="C153" t="s">
        <v>95</v>
      </c>
      <c r="D153" t="s">
        <v>99</v>
      </c>
      <c r="E153" t="s">
        <v>62</v>
      </c>
      <c r="F153">
        <v>150739.57800000001</v>
      </c>
      <c r="G153">
        <v>1928658.429</v>
      </c>
      <c r="H153" s="10">
        <f>PIB_ACTIVIDADES[[#This Row],[PIB]]/PIB_ACTIVIDADES[[#This Row],[PIB TOTAL]]</f>
        <v>7.8157736866946284E-2</v>
      </c>
    </row>
    <row r="154" spans="1:8" hidden="1" x14ac:dyDescent="0.3">
      <c r="A154" t="s">
        <v>125</v>
      </c>
      <c r="B154" t="s">
        <v>126</v>
      </c>
      <c r="C154" t="s">
        <v>95</v>
      </c>
      <c r="D154" t="s">
        <v>99</v>
      </c>
      <c r="E154" t="s">
        <v>63</v>
      </c>
      <c r="F154">
        <v>156772.31099999999</v>
      </c>
      <c r="G154">
        <v>1991519.7</v>
      </c>
      <c r="H154" s="10">
        <f>PIB_ACTIVIDADES[[#This Row],[PIB]]/PIB_ACTIVIDADES[[#This Row],[PIB TOTAL]]</f>
        <v>7.871993985296756E-2</v>
      </c>
    </row>
    <row r="155" spans="1:8" hidden="1" x14ac:dyDescent="0.3">
      <c r="A155" t="s">
        <v>125</v>
      </c>
      <c r="B155" t="s">
        <v>126</v>
      </c>
      <c r="C155" t="s">
        <v>95</v>
      </c>
      <c r="D155" t="s">
        <v>99</v>
      </c>
      <c r="E155" t="s">
        <v>64</v>
      </c>
      <c r="F155">
        <v>162137.02600000001</v>
      </c>
      <c r="G155">
        <v>2059995.5649999999</v>
      </c>
      <c r="H155" s="10">
        <f>PIB_ACTIVIDADES[[#This Row],[PIB]]/PIB_ACTIVIDADES[[#This Row],[PIB TOTAL]]</f>
        <v>7.8707463625049129E-2</v>
      </c>
    </row>
    <row r="156" spans="1:8" hidden="1" x14ac:dyDescent="0.3">
      <c r="A156" t="s">
        <v>127</v>
      </c>
      <c r="B156" t="s">
        <v>128</v>
      </c>
      <c r="C156" t="s">
        <v>95</v>
      </c>
      <c r="D156" t="s">
        <v>100</v>
      </c>
      <c r="E156" t="s">
        <v>43</v>
      </c>
      <c r="F156">
        <v>97536.803</v>
      </c>
      <c r="G156">
        <v>1289662.122</v>
      </c>
      <c r="H156" s="10">
        <f>PIB_ACTIVIDADES[[#This Row],[PIB]]/PIB_ACTIVIDADES[[#This Row],[PIB TOTAL]]</f>
        <v>7.5629733816435993E-2</v>
      </c>
    </row>
    <row r="157" spans="1:8" hidden="1" x14ac:dyDescent="0.3">
      <c r="A157" t="s">
        <v>127</v>
      </c>
      <c r="B157" t="s">
        <v>128</v>
      </c>
      <c r="C157" t="s">
        <v>95</v>
      </c>
      <c r="D157" t="s">
        <v>100</v>
      </c>
      <c r="E157" t="s">
        <v>44</v>
      </c>
      <c r="F157">
        <v>104769.423</v>
      </c>
      <c r="G157">
        <v>1335507.8389999999</v>
      </c>
      <c r="H157" s="10">
        <f>PIB_ACTIVIDADES[[#This Row],[PIB]]/PIB_ACTIVIDADES[[#This Row],[PIB TOTAL]]</f>
        <v>7.8449126197903216E-2</v>
      </c>
    </row>
    <row r="158" spans="1:8" hidden="1" x14ac:dyDescent="0.3">
      <c r="A158" t="s">
        <v>127</v>
      </c>
      <c r="B158" t="s">
        <v>128</v>
      </c>
      <c r="C158" t="s">
        <v>95</v>
      </c>
      <c r="D158" t="s">
        <v>100</v>
      </c>
      <c r="E158" t="s">
        <v>45</v>
      </c>
      <c r="F158">
        <v>106696.288</v>
      </c>
      <c r="G158">
        <v>1368861.9909999999</v>
      </c>
      <c r="H158" s="10">
        <f>PIB_ACTIVIDADES[[#This Row],[PIB]]/PIB_ACTIVIDADES[[#This Row],[PIB TOTAL]]</f>
        <v>7.7945248462962108E-2</v>
      </c>
    </row>
    <row r="159" spans="1:8" hidden="1" x14ac:dyDescent="0.3">
      <c r="A159" t="s">
        <v>127</v>
      </c>
      <c r="B159" t="s">
        <v>128</v>
      </c>
      <c r="C159" t="s">
        <v>95</v>
      </c>
      <c r="D159" t="s">
        <v>100</v>
      </c>
      <c r="E159" t="s">
        <v>46</v>
      </c>
      <c r="F159">
        <v>111952.667</v>
      </c>
      <c r="G159">
        <v>1469583.898</v>
      </c>
      <c r="H159" s="10">
        <f>PIB_ACTIVIDADES[[#This Row],[PIB]]/PIB_ACTIVIDADES[[#This Row],[PIB TOTAL]]</f>
        <v>7.6179840533337137E-2</v>
      </c>
    </row>
    <row r="160" spans="1:8" hidden="1" x14ac:dyDescent="0.3">
      <c r="A160" t="s">
        <v>127</v>
      </c>
      <c r="B160" t="s">
        <v>128</v>
      </c>
      <c r="C160" t="s">
        <v>95</v>
      </c>
      <c r="D160" t="s">
        <v>100</v>
      </c>
      <c r="E160" t="s">
        <v>47</v>
      </c>
      <c r="F160">
        <v>116271.232</v>
      </c>
      <c r="G160">
        <v>1532409.5149999999</v>
      </c>
      <c r="H160" s="10">
        <f>PIB_ACTIVIDADES[[#This Row],[PIB]]/PIB_ACTIVIDADES[[#This Row],[PIB TOTAL]]</f>
        <v>7.5874778159413875E-2</v>
      </c>
    </row>
    <row r="161" spans="1:8" hidden="1" x14ac:dyDescent="0.3">
      <c r="A161" t="s">
        <v>127</v>
      </c>
      <c r="B161" t="s">
        <v>128</v>
      </c>
      <c r="C161" t="s">
        <v>95</v>
      </c>
      <c r="D161" t="s">
        <v>100</v>
      </c>
      <c r="E161" t="s">
        <v>48</v>
      </c>
      <c r="F161">
        <v>115013.20299999999</v>
      </c>
      <c r="G161">
        <v>1531655.04</v>
      </c>
      <c r="H161" s="10">
        <f>PIB_ACTIVIDADES[[#This Row],[PIB]]/PIB_ACTIVIDADES[[#This Row],[PIB TOTAL]]</f>
        <v>7.5090800471625779E-2</v>
      </c>
    </row>
    <row r="162" spans="1:8" hidden="1" x14ac:dyDescent="0.3">
      <c r="A162" t="s">
        <v>127</v>
      </c>
      <c r="B162" t="s">
        <v>128</v>
      </c>
      <c r="C162" t="s">
        <v>95</v>
      </c>
      <c r="D162" t="s">
        <v>100</v>
      </c>
      <c r="E162" t="s">
        <v>49</v>
      </c>
      <c r="F162">
        <v>102662.46799999999</v>
      </c>
      <c r="G162">
        <v>1411038.652</v>
      </c>
      <c r="H162" s="10">
        <f>PIB_ACTIVIDADES[[#This Row],[PIB]]/PIB_ACTIVIDADES[[#This Row],[PIB TOTAL]]</f>
        <v>7.2756666059066957E-2</v>
      </c>
    </row>
    <row r="163" spans="1:8" hidden="1" x14ac:dyDescent="0.3">
      <c r="A163" t="s">
        <v>127</v>
      </c>
      <c r="B163" t="s">
        <v>128</v>
      </c>
      <c r="C163" t="s">
        <v>95</v>
      </c>
      <c r="D163" t="s">
        <v>100</v>
      </c>
      <c r="E163" t="s">
        <v>50</v>
      </c>
      <c r="F163">
        <v>113286.247</v>
      </c>
      <c r="G163">
        <v>1509564.2709999999</v>
      </c>
      <c r="H163" s="10">
        <f>PIB_ACTIVIDADES[[#This Row],[PIB]]/PIB_ACTIVIDADES[[#This Row],[PIB TOTAL]]</f>
        <v>7.5045659980382512E-2</v>
      </c>
    </row>
    <row r="164" spans="1:8" hidden="1" x14ac:dyDescent="0.3">
      <c r="A164" t="s">
        <v>127</v>
      </c>
      <c r="B164" t="s">
        <v>128</v>
      </c>
      <c r="C164" t="s">
        <v>95</v>
      </c>
      <c r="D164" t="s">
        <v>100</v>
      </c>
      <c r="E164" t="s">
        <v>51</v>
      </c>
      <c r="F164">
        <v>120313.655</v>
      </c>
      <c r="G164">
        <v>1558834.9950000001</v>
      </c>
      <c r="H164" s="10">
        <f>PIB_ACTIVIDADES[[#This Row],[PIB]]/PIB_ACTIVIDADES[[#This Row],[PIB TOTAL]]</f>
        <v>7.7181777023167225E-2</v>
      </c>
    </row>
    <row r="165" spans="1:8" hidden="1" x14ac:dyDescent="0.3">
      <c r="A165" t="s">
        <v>127</v>
      </c>
      <c r="B165" t="s">
        <v>128</v>
      </c>
      <c r="C165" t="s">
        <v>95</v>
      </c>
      <c r="D165" t="s">
        <v>100</v>
      </c>
      <c r="E165" t="s">
        <v>52</v>
      </c>
      <c r="F165">
        <v>129243.054</v>
      </c>
      <c r="G165">
        <v>1621930.2709999999</v>
      </c>
      <c r="H165" s="10">
        <f>PIB_ACTIVIDADES[[#This Row],[PIB]]/PIB_ACTIVIDADES[[#This Row],[PIB TOTAL]]</f>
        <v>7.9684716606414463E-2</v>
      </c>
    </row>
    <row r="166" spans="1:8" hidden="1" x14ac:dyDescent="0.3">
      <c r="A166" t="s">
        <v>127</v>
      </c>
      <c r="B166" t="s">
        <v>128</v>
      </c>
      <c r="C166" t="s">
        <v>95</v>
      </c>
      <c r="D166" t="s">
        <v>100</v>
      </c>
      <c r="E166" t="s">
        <v>53</v>
      </c>
      <c r="F166">
        <v>131289.25200000001</v>
      </c>
      <c r="G166">
        <v>1611568.7879999999</v>
      </c>
      <c r="H166" s="10">
        <f>PIB_ACTIVIDADES[[#This Row],[PIB]]/PIB_ACTIVIDADES[[#This Row],[PIB TOTAL]]</f>
        <v>8.1466737862882971E-2</v>
      </c>
    </row>
    <row r="167" spans="1:8" hidden="1" x14ac:dyDescent="0.3">
      <c r="A167" t="s">
        <v>127</v>
      </c>
      <c r="B167" t="s">
        <v>128</v>
      </c>
      <c r="C167" t="s">
        <v>95</v>
      </c>
      <c r="D167" t="s">
        <v>100</v>
      </c>
      <c r="E167" t="s">
        <v>54</v>
      </c>
      <c r="F167">
        <v>138969.71400000001</v>
      </c>
      <c r="G167">
        <v>1666974.7009999999</v>
      </c>
      <c r="H167" s="10">
        <f>PIB_ACTIVIDADES[[#This Row],[PIB]]/PIB_ACTIVIDADES[[#This Row],[PIB TOTAL]]</f>
        <v>8.3366420568130761E-2</v>
      </c>
    </row>
    <row r="168" spans="1:8" hidden="1" x14ac:dyDescent="0.3">
      <c r="A168" t="s">
        <v>127</v>
      </c>
      <c r="B168" t="s">
        <v>128</v>
      </c>
      <c r="C168" t="s">
        <v>95</v>
      </c>
      <c r="D168" t="s">
        <v>100</v>
      </c>
      <c r="E168" t="s">
        <v>55</v>
      </c>
      <c r="F168">
        <v>147104.693</v>
      </c>
      <c r="G168">
        <v>1728163.9920000001</v>
      </c>
      <c r="H168" s="10">
        <f>PIB_ACTIVIDADES[[#This Row],[PIB]]/PIB_ACTIVIDADES[[#This Row],[PIB TOTAL]]</f>
        <v>8.5121952361567305E-2</v>
      </c>
    </row>
    <row r="169" spans="1:8" hidden="1" x14ac:dyDescent="0.3">
      <c r="A169" t="s">
        <v>127</v>
      </c>
      <c r="B169" t="s">
        <v>128</v>
      </c>
      <c r="C169" t="s">
        <v>95</v>
      </c>
      <c r="D169" t="s">
        <v>100</v>
      </c>
      <c r="E169" t="s">
        <v>56</v>
      </c>
      <c r="F169">
        <v>150282.717</v>
      </c>
      <c r="G169">
        <v>1743960.8829999999</v>
      </c>
      <c r="H169" s="10">
        <f>PIB_ACTIVIDADES[[#This Row],[PIB]]/PIB_ACTIVIDADES[[#This Row],[PIB TOTAL]]</f>
        <v>8.6173215503251632E-2</v>
      </c>
    </row>
    <row r="170" spans="1:8" hidden="1" x14ac:dyDescent="0.3">
      <c r="A170" t="s">
        <v>127</v>
      </c>
      <c r="B170" t="s">
        <v>128</v>
      </c>
      <c r="C170" t="s">
        <v>95</v>
      </c>
      <c r="D170" t="s">
        <v>100</v>
      </c>
      <c r="E170" t="s">
        <v>57</v>
      </c>
      <c r="F170">
        <v>160174.66200000001</v>
      </c>
      <c r="G170">
        <v>1809343.5560000001</v>
      </c>
      <c r="H170" s="10">
        <f>PIB_ACTIVIDADES[[#This Row],[PIB]]/PIB_ACTIVIDADES[[#This Row],[PIB TOTAL]]</f>
        <v>8.8526394818077322E-2</v>
      </c>
    </row>
    <row r="171" spans="1:8" hidden="1" x14ac:dyDescent="0.3">
      <c r="A171" t="s">
        <v>127</v>
      </c>
      <c r="B171" t="s">
        <v>128</v>
      </c>
      <c r="C171" t="s">
        <v>95</v>
      </c>
      <c r="D171" t="s">
        <v>100</v>
      </c>
      <c r="E171" t="s">
        <v>58</v>
      </c>
      <c r="F171">
        <v>165128.715</v>
      </c>
      <c r="G171">
        <v>1909026.4350000001</v>
      </c>
      <c r="H171" s="10">
        <f>PIB_ACTIVIDADES[[#This Row],[PIB]]/PIB_ACTIVIDADES[[#This Row],[PIB TOTAL]]</f>
        <v>8.6498914825137024E-2</v>
      </c>
    </row>
    <row r="172" spans="1:8" hidden="1" x14ac:dyDescent="0.3">
      <c r="A172" t="s">
        <v>127</v>
      </c>
      <c r="B172" t="s">
        <v>128</v>
      </c>
      <c r="C172" t="s">
        <v>95</v>
      </c>
      <c r="D172" t="s">
        <v>100</v>
      </c>
      <c r="E172" t="s">
        <v>59</v>
      </c>
      <c r="F172">
        <v>165008.636</v>
      </c>
      <c r="G172">
        <v>1918825.0060000001</v>
      </c>
      <c r="H172" s="10">
        <f>PIB_ACTIVIDADES[[#This Row],[PIB]]/PIB_ACTIVIDADES[[#This Row],[PIB TOTAL]]</f>
        <v>8.5994624566613553E-2</v>
      </c>
    </row>
    <row r="173" spans="1:8" hidden="1" x14ac:dyDescent="0.3">
      <c r="A173" t="s">
        <v>127</v>
      </c>
      <c r="B173" t="s">
        <v>128</v>
      </c>
      <c r="C173" t="s">
        <v>95</v>
      </c>
      <c r="D173" t="s">
        <v>100</v>
      </c>
      <c r="E173" t="s">
        <v>60</v>
      </c>
      <c r="F173">
        <v>144769.14799999999</v>
      </c>
      <c r="G173">
        <v>1743165.6229999999</v>
      </c>
      <c r="H173" s="10">
        <f>PIB_ACTIVIDADES[[#This Row],[PIB]]/PIB_ACTIVIDADES[[#This Row],[PIB TOTAL]]</f>
        <v>8.3049565738252284E-2</v>
      </c>
    </row>
    <row r="174" spans="1:8" hidden="1" x14ac:dyDescent="0.3">
      <c r="A174" t="s">
        <v>127</v>
      </c>
      <c r="B174" t="s">
        <v>128</v>
      </c>
      <c r="C174" t="s">
        <v>95</v>
      </c>
      <c r="D174" t="s">
        <v>100</v>
      </c>
      <c r="E174" t="s">
        <v>61</v>
      </c>
      <c r="F174">
        <v>164535.68400000001</v>
      </c>
      <c r="G174">
        <v>1865875.274</v>
      </c>
      <c r="H174" s="10">
        <f>PIB_ACTIVIDADES[[#This Row],[PIB]]/PIB_ACTIVIDADES[[#This Row],[PIB TOTAL]]</f>
        <v>8.818150188960594E-2</v>
      </c>
    </row>
    <row r="175" spans="1:8" hidden="1" x14ac:dyDescent="0.3">
      <c r="A175" t="s">
        <v>127</v>
      </c>
      <c r="B175" t="s">
        <v>128</v>
      </c>
      <c r="C175" t="s">
        <v>95</v>
      </c>
      <c r="D175" t="s">
        <v>100</v>
      </c>
      <c r="E175" t="s">
        <v>62</v>
      </c>
      <c r="F175">
        <v>180352.139</v>
      </c>
      <c r="G175">
        <v>1928658.429</v>
      </c>
      <c r="H175" s="10">
        <f>PIB_ACTIVIDADES[[#This Row],[PIB]]/PIB_ACTIVIDADES[[#This Row],[PIB TOTAL]]</f>
        <v>9.3511705488209071E-2</v>
      </c>
    </row>
    <row r="176" spans="1:8" hidden="1" x14ac:dyDescent="0.3">
      <c r="A176" t="s">
        <v>127</v>
      </c>
      <c r="B176" t="s">
        <v>128</v>
      </c>
      <c r="C176" t="s">
        <v>95</v>
      </c>
      <c r="D176" t="s">
        <v>100</v>
      </c>
      <c r="E176" t="s">
        <v>63</v>
      </c>
      <c r="F176">
        <v>187058.12700000001</v>
      </c>
      <c r="G176">
        <v>1991519.7</v>
      </c>
      <c r="H176" s="10">
        <f>PIB_ACTIVIDADES[[#This Row],[PIB]]/PIB_ACTIVIDADES[[#This Row],[PIB TOTAL]]</f>
        <v>9.3927329466035422E-2</v>
      </c>
    </row>
    <row r="177" spans="1:8" hidden="1" x14ac:dyDescent="0.3">
      <c r="A177" t="s">
        <v>127</v>
      </c>
      <c r="B177" t="s">
        <v>128</v>
      </c>
      <c r="C177" t="s">
        <v>95</v>
      </c>
      <c r="D177" t="s">
        <v>100</v>
      </c>
      <c r="E177" t="s">
        <v>64</v>
      </c>
      <c r="F177">
        <v>193809.38</v>
      </c>
      <c r="G177">
        <v>2059995.5649999999</v>
      </c>
      <c r="H177" s="10">
        <f>PIB_ACTIVIDADES[[#This Row],[PIB]]/PIB_ACTIVIDADES[[#This Row],[PIB TOTAL]]</f>
        <v>9.408242585221295E-2</v>
      </c>
    </row>
    <row r="178" spans="1:8" hidden="1" x14ac:dyDescent="0.3">
      <c r="A178" t="s">
        <v>129</v>
      </c>
      <c r="B178" t="s">
        <v>130</v>
      </c>
      <c r="C178" t="s">
        <v>95</v>
      </c>
      <c r="D178" t="s">
        <v>101</v>
      </c>
      <c r="E178" t="s">
        <v>43</v>
      </c>
      <c r="F178">
        <v>7852.3649999999998</v>
      </c>
      <c r="G178">
        <v>1289662.122</v>
      </c>
      <c r="H178" s="10">
        <f>PIB_ACTIVIDADES[[#This Row],[PIB]]/PIB_ACTIVIDADES[[#This Row],[PIB TOTAL]]</f>
        <v>6.0886994089758961E-3</v>
      </c>
    </row>
    <row r="179" spans="1:8" hidden="1" x14ac:dyDescent="0.3">
      <c r="A179" t="s">
        <v>129</v>
      </c>
      <c r="B179" t="s">
        <v>130</v>
      </c>
      <c r="C179" t="s">
        <v>95</v>
      </c>
      <c r="D179" t="s">
        <v>101</v>
      </c>
      <c r="E179" t="s">
        <v>44</v>
      </c>
      <c r="F179">
        <v>8824.9670000000006</v>
      </c>
      <c r="G179">
        <v>1335507.8389999999</v>
      </c>
      <c r="H179" s="10">
        <f>PIB_ACTIVIDADES[[#This Row],[PIB]]/PIB_ACTIVIDADES[[#This Row],[PIB TOTAL]]</f>
        <v>6.6079484839324867E-3</v>
      </c>
    </row>
    <row r="180" spans="1:8" hidden="1" x14ac:dyDescent="0.3">
      <c r="A180" t="s">
        <v>129</v>
      </c>
      <c r="B180" t="s">
        <v>130</v>
      </c>
      <c r="C180" t="s">
        <v>95</v>
      </c>
      <c r="D180" t="s">
        <v>101</v>
      </c>
      <c r="E180" t="s">
        <v>45</v>
      </c>
      <c r="F180">
        <v>9795.17</v>
      </c>
      <c r="G180">
        <v>1368861.9909999999</v>
      </c>
      <c r="H180" s="10">
        <f>PIB_ACTIVIDADES[[#This Row],[PIB]]/PIB_ACTIVIDADES[[#This Row],[PIB TOTAL]]</f>
        <v>7.1557031055002832E-3</v>
      </c>
    </row>
    <row r="181" spans="1:8" hidden="1" x14ac:dyDescent="0.3">
      <c r="A181" t="s">
        <v>129</v>
      </c>
      <c r="B181" t="s">
        <v>130</v>
      </c>
      <c r="C181" t="s">
        <v>95</v>
      </c>
      <c r="D181" t="s">
        <v>101</v>
      </c>
      <c r="E181" t="s">
        <v>46</v>
      </c>
      <c r="F181">
        <v>10785.807000000001</v>
      </c>
      <c r="G181">
        <v>1469583.898</v>
      </c>
      <c r="H181" s="10">
        <f>PIB_ACTIVIDADES[[#This Row],[PIB]]/PIB_ACTIVIDADES[[#This Row],[PIB TOTAL]]</f>
        <v>7.3393611720152371E-3</v>
      </c>
    </row>
    <row r="182" spans="1:8" hidden="1" x14ac:dyDescent="0.3">
      <c r="A182" t="s">
        <v>129</v>
      </c>
      <c r="B182" t="s">
        <v>130</v>
      </c>
      <c r="C182" t="s">
        <v>95</v>
      </c>
      <c r="D182" t="s">
        <v>101</v>
      </c>
      <c r="E182" t="s">
        <v>47</v>
      </c>
      <c r="F182">
        <v>12724.86</v>
      </c>
      <c r="G182">
        <v>1532409.5149999999</v>
      </c>
      <c r="H182" s="10">
        <f>PIB_ACTIVIDADES[[#This Row],[PIB]]/PIB_ACTIVIDADES[[#This Row],[PIB TOTAL]]</f>
        <v>8.303824712286521E-3</v>
      </c>
    </row>
    <row r="183" spans="1:8" hidden="1" x14ac:dyDescent="0.3">
      <c r="A183" t="s">
        <v>129</v>
      </c>
      <c r="B183" t="s">
        <v>130</v>
      </c>
      <c r="C183" t="s">
        <v>95</v>
      </c>
      <c r="D183" t="s">
        <v>101</v>
      </c>
      <c r="E183" t="s">
        <v>48</v>
      </c>
      <c r="F183">
        <v>13523.191999999999</v>
      </c>
      <c r="G183">
        <v>1531655.04</v>
      </c>
      <c r="H183" s="10">
        <f>PIB_ACTIVIDADES[[#This Row],[PIB]]/PIB_ACTIVIDADES[[#This Row],[PIB TOTAL]]</f>
        <v>8.8291368792805976E-3</v>
      </c>
    </row>
    <row r="184" spans="1:8" hidden="1" x14ac:dyDescent="0.3">
      <c r="A184" t="s">
        <v>129</v>
      </c>
      <c r="B184" t="s">
        <v>130</v>
      </c>
      <c r="C184" t="s">
        <v>95</v>
      </c>
      <c r="D184" t="s">
        <v>101</v>
      </c>
      <c r="E184" t="s">
        <v>49</v>
      </c>
      <c r="F184">
        <v>13804.383</v>
      </c>
      <c r="G184">
        <v>1411038.652</v>
      </c>
      <c r="H184" s="10">
        <f>PIB_ACTIVIDADES[[#This Row],[PIB]]/PIB_ACTIVIDADES[[#This Row],[PIB TOTAL]]</f>
        <v>9.7831359760653814E-3</v>
      </c>
    </row>
    <row r="185" spans="1:8" hidden="1" x14ac:dyDescent="0.3">
      <c r="A185" t="s">
        <v>129</v>
      </c>
      <c r="B185" t="s">
        <v>130</v>
      </c>
      <c r="C185" t="s">
        <v>95</v>
      </c>
      <c r="D185" t="s">
        <v>101</v>
      </c>
      <c r="E185" t="s">
        <v>50</v>
      </c>
      <c r="F185">
        <v>13722.151</v>
      </c>
      <c r="G185">
        <v>1509564.2709999999</v>
      </c>
      <c r="H185" s="10">
        <f>PIB_ACTIVIDADES[[#This Row],[PIB]]/PIB_ACTIVIDADES[[#This Row],[PIB TOTAL]]</f>
        <v>9.0901402898929638E-3</v>
      </c>
    </row>
    <row r="186" spans="1:8" hidden="1" x14ac:dyDescent="0.3">
      <c r="A186" t="s">
        <v>129</v>
      </c>
      <c r="B186" t="s">
        <v>130</v>
      </c>
      <c r="C186" t="s">
        <v>95</v>
      </c>
      <c r="D186" t="s">
        <v>101</v>
      </c>
      <c r="E186" t="s">
        <v>51</v>
      </c>
      <c r="F186">
        <v>14396.071</v>
      </c>
      <c r="G186">
        <v>1558834.9950000001</v>
      </c>
      <c r="H186" s="10">
        <f>PIB_ACTIVIDADES[[#This Row],[PIB]]/PIB_ACTIVIDADES[[#This Row],[PIB TOTAL]]</f>
        <v>9.235147431367486E-3</v>
      </c>
    </row>
    <row r="187" spans="1:8" hidden="1" x14ac:dyDescent="0.3">
      <c r="A187" t="s">
        <v>129</v>
      </c>
      <c r="B187" t="s">
        <v>130</v>
      </c>
      <c r="C187" t="s">
        <v>95</v>
      </c>
      <c r="D187" t="s">
        <v>101</v>
      </c>
      <c r="E187" t="s">
        <v>52</v>
      </c>
      <c r="F187">
        <v>15467.484</v>
      </c>
      <c r="G187">
        <v>1621930.2709999999</v>
      </c>
      <c r="H187" s="10">
        <f>PIB_ACTIVIDADES[[#This Row],[PIB]]/PIB_ACTIVIDADES[[#This Row],[PIB TOTAL]]</f>
        <v>9.5364666882155995E-3</v>
      </c>
    </row>
    <row r="188" spans="1:8" hidden="1" x14ac:dyDescent="0.3">
      <c r="A188" t="s">
        <v>129</v>
      </c>
      <c r="B188" t="s">
        <v>130</v>
      </c>
      <c r="C188" t="s">
        <v>95</v>
      </c>
      <c r="D188" t="s">
        <v>101</v>
      </c>
      <c r="E188" t="s">
        <v>53</v>
      </c>
      <c r="F188">
        <v>16053.948</v>
      </c>
      <c r="G188">
        <v>1611568.7879999999</v>
      </c>
      <c r="H188" s="10">
        <f>PIB_ACTIVIDADES[[#This Row],[PIB]]/PIB_ACTIVIDADES[[#This Row],[PIB TOTAL]]</f>
        <v>9.9616895782173726E-3</v>
      </c>
    </row>
    <row r="189" spans="1:8" hidden="1" x14ac:dyDescent="0.3">
      <c r="A189" t="s">
        <v>129</v>
      </c>
      <c r="B189" t="s">
        <v>130</v>
      </c>
      <c r="C189" t="s">
        <v>95</v>
      </c>
      <c r="D189" t="s">
        <v>101</v>
      </c>
      <c r="E189" t="s">
        <v>54</v>
      </c>
      <c r="F189">
        <v>17118.947</v>
      </c>
      <c r="G189">
        <v>1666974.7009999999</v>
      </c>
      <c r="H189" s="10">
        <f>PIB_ACTIVIDADES[[#This Row],[PIB]]/PIB_ACTIVIDADES[[#This Row],[PIB TOTAL]]</f>
        <v>1.0269470190357738E-2</v>
      </c>
    </row>
    <row r="190" spans="1:8" hidden="1" x14ac:dyDescent="0.3">
      <c r="A190" t="s">
        <v>129</v>
      </c>
      <c r="B190" t="s">
        <v>130</v>
      </c>
      <c r="C190" t="s">
        <v>95</v>
      </c>
      <c r="D190" t="s">
        <v>101</v>
      </c>
      <c r="E190" t="s">
        <v>55</v>
      </c>
      <c r="F190">
        <v>20342.504000000001</v>
      </c>
      <c r="G190">
        <v>1728163.9920000001</v>
      </c>
      <c r="H190" s="10">
        <f>PIB_ACTIVIDADES[[#This Row],[PIB]]/PIB_ACTIVIDADES[[#This Row],[PIB TOTAL]]</f>
        <v>1.1771165291123598E-2</v>
      </c>
    </row>
    <row r="191" spans="1:8" hidden="1" x14ac:dyDescent="0.3">
      <c r="A191" t="s">
        <v>129</v>
      </c>
      <c r="B191" t="s">
        <v>130</v>
      </c>
      <c r="C191" t="s">
        <v>95</v>
      </c>
      <c r="D191" t="s">
        <v>101</v>
      </c>
      <c r="E191" t="s">
        <v>56</v>
      </c>
      <c r="F191">
        <v>24094.442999999999</v>
      </c>
      <c r="G191">
        <v>1743960.8829999999</v>
      </c>
      <c r="H191" s="10">
        <f>PIB_ACTIVIDADES[[#This Row],[PIB]]/PIB_ACTIVIDADES[[#This Row],[PIB TOTAL]]</f>
        <v>1.3815930870279733E-2</v>
      </c>
    </row>
    <row r="192" spans="1:8" hidden="1" x14ac:dyDescent="0.3">
      <c r="A192" t="s">
        <v>129</v>
      </c>
      <c r="B192" t="s">
        <v>130</v>
      </c>
      <c r="C192" t="s">
        <v>95</v>
      </c>
      <c r="D192" t="s">
        <v>101</v>
      </c>
      <c r="E192" t="s">
        <v>57</v>
      </c>
      <c r="F192">
        <v>25571.602999999999</v>
      </c>
      <c r="G192">
        <v>1809343.5560000001</v>
      </c>
      <c r="H192" s="10">
        <f>PIB_ACTIVIDADES[[#This Row],[PIB]]/PIB_ACTIVIDADES[[#This Row],[PIB TOTAL]]</f>
        <v>1.4133083192078972E-2</v>
      </c>
    </row>
    <row r="193" spans="1:8" hidden="1" x14ac:dyDescent="0.3">
      <c r="A193" t="s">
        <v>129</v>
      </c>
      <c r="B193" t="s">
        <v>130</v>
      </c>
      <c r="C193" t="s">
        <v>95</v>
      </c>
      <c r="D193" t="s">
        <v>101</v>
      </c>
      <c r="E193" t="s">
        <v>58</v>
      </c>
      <c r="F193">
        <v>27742.824000000001</v>
      </c>
      <c r="G193">
        <v>1909026.4350000001</v>
      </c>
      <c r="H193" s="10">
        <f>PIB_ACTIVIDADES[[#This Row],[PIB]]/PIB_ACTIVIDADES[[#This Row],[PIB TOTAL]]</f>
        <v>1.4532446220421248E-2</v>
      </c>
    </row>
    <row r="194" spans="1:8" hidden="1" x14ac:dyDescent="0.3">
      <c r="A194" t="s">
        <v>129</v>
      </c>
      <c r="B194" t="s">
        <v>130</v>
      </c>
      <c r="C194" t="s">
        <v>95</v>
      </c>
      <c r="D194" t="s">
        <v>101</v>
      </c>
      <c r="E194" t="s">
        <v>59</v>
      </c>
      <c r="F194">
        <v>29212.028999999999</v>
      </c>
      <c r="G194">
        <v>1918825.0060000001</v>
      </c>
      <c r="H194" s="10">
        <f>PIB_ACTIVIDADES[[#This Row],[PIB]]/PIB_ACTIVIDADES[[#This Row],[PIB TOTAL]]</f>
        <v>1.5223915108806956E-2</v>
      </c>
    </row>
    <row r="195" spans="1:8" hidden="1" x14ac:dyDescent="0.3">
      <c r="A195" t="s">
        <v>129</v>
      </c>
      <c r="B195" t="s">
        <v>130</v>
      </c>
      <c r="C195" t="s">
        <v>95</v>
      </c>
      <c r="D195" t="s">
        <v>101</v>
      </c>
      <c r="E195" t="s">
        <v>60</v>
      </c>
      <c r="F195">
        <v>28217.686000000002</v>
      </c>
      <c r="G195">
        <v>1743165.6229999999</v>
      </c>
      <c r="H195" s="10">
        <f>PIB_ACTIVIDADES[[#This Row],[PIB]]/PIB_ACTIVIDADES[[#This Row],[PIB TOTAL]]</f>
        <v>1.6187610418473702E-2</v>
      </c>
    </row>
    <row r="196" spans="1:8" hidden="1" x14ac:dyDescent="0.3">
      <c r="A196" t="s">
        <v>129</v>
      </c>
      <c r="B196" t="s">
        <v>130</v>
      </c>
      <c r="C196" t="s">
        <v>95</v>
      </c>
      <c r="D196" t="s">
        <v>101</v>
      </c>
      <c r="E196" t="s">
        <v>61</v>
      </c>
      <c r="F196">
        <v>30738.544999999998</v>
      </c>
      <c r="G196">
        <v>1865875.274</v>
      </c>
      <c r="H196" s="10">
        <f>PIB_ACTIVIDADES[[#This Row],[PIB]]/PIB_ACTIVIDADES[[#This Row],[PIB TOTAL]]</f>
        <v>1.6474062027792325E-2</v>
      </c>
    </row>
    <row r="197" spans="1:8" hidden="1" x14ac:dyDescent="0.3">
      <c r="A197" t="s">
        <v>129</v>
      </c>
      <c r="B197" t="s">
        <v>130</v>
      </c>
      <c r="C197" t="s">
        <v>95</v>
      </c>
      <c r="D197" t="s">
        <v>101</v>
      </c>
      <c r="E197" t="s">
        <v>62</v>
      </c>
      <c r="F197">
        <v>36545.71</v>
      </c>
      <c r="G197">
        <v>1928658.429</v>
      </c>
      <c r="H197" s="10">
        <f>PIB_ACTIVIDADES[[#This Row],[PIB]]/PIB_ACTIVIDADES[[#This Row],[PIB TOTAL]]</f>
        <v>1.8948772603010255E-2</v>
      </c>
    </row>
    <row r="198" spans="1:8" hidden="1" x14ac:dyDescent="0.3">
      <c r="A198" t="s">
        <v>129</v>
      </c>
      <c r="B198" t="s">
        <v>130</v>
      </c>
      <c r="C198" t="s">
        <v>95</v>
      </c>
      <c r="D198" t="s">
        <v>101</v>
      </c>
      <c r="E198" t="s">
        <v>63</v>
      </c>
      <c r="F198">
        <v>39152.377</v>
      </c>
      <c r="G198">
        <v>1991519.7</v>
      </c>
      <c r="H198" s="10">
        <f>PIB_ACTIVIDADES[[#This Row],[PIB]]/PIB_ACTIVIDADES[[#This Row],[PIB TOTAL]]</f>
        <v>1.9659547932164567E-2</v>
      </c>
    </row>
    <row r="199" spans="1:8" hidden="1" x14ac:dyDescent="0.3">
      <c r="A199" t="s">
        <v>129</v>
      </c>
      <c r="B199" t="s">
        <v>130</v>
      </c>
      <c r="C199" t="s">
        <v>95</v>
      </c>
      <c r="D199" t="s">
        <v>101</v>
      </c>
      <c r="E199" t="s">
        <v>64</v>
      </c>
      <c r="F199">
        <v>42387.79</v>
      </c>
      <c r="G199">
        <v>2059995.5649999999</v>
      </c>
      <c r="H199" s="10">
        <f>PIB_ACTIVIDADES[[#This Row],[PIB]]/PIB_ACTIVIDADES[[#This Row],[PIB TOTAL]]</f>
        <v>2.0576641387089589E-2</v>
      </c>
    </row>
    <row r="200" spans="1:8" hidden="1" x14ac:dyDescent="0.3">
      <c r="A200" t="s">
        <v>131</v>
      </c>
      <c r="B200" t="s">
        <v>132</v>
      </c>
      <c r="C200" t="s">
        <v>95</v>
      </c>
      <c r="D200" t="s">
        <v>101</v>
      </c>
      <c r="E200" t="s">
        <v>43</v>
      </c>
      <c r="F200">
        <v>19973.780999999999</v>
      </c>
      <c r="G200">
        <v>1289662.122</v>
      </c>
      <c r="H200" s="10">
        <f>PIB_ACTIVIDADES[[#This Row],[PIB]]/PIB_ACTIVIDADES[[#This Row],[PIB TOTAL]]</f>
        <v>1.5487607691404308E-2</v>
      </c>
    </row>
    <row r="201" spans="1:8" hidden="1" x14ac:dyDescent="0.3">
      <c r="A201" t="s">
        <v>131</v>
      </c>
      <c r="B201" t="s">
        <v>132</v>
      </c>
      <c r="C201" t="s">
        <v>95</v>
      </c>
      <c r="D201" t="s">
        <v>101</v>
      </c>
      <c r="E201" t="s">
        <v>44</v>
      </c>
      <c r="F201">
        <v>22413.848999999998</v>
      </c>
      <c r="G201">
        <v>1335507.8389999999</v>
      </c>
      <c r="H201" s="10">
        <f>PIB_ACTIVIDADES[[#This Row],[PIB]]/PIB_ACTIVIDADES[[#This Row],[PIB TOTAL]]</f>
        <v>1.6783015677978359E-2</v>
      </c>
    </row>
    <row r="202" spans="1:8" hidden="1" x14ac:dyDescent="0.3">
      <c r="A202" t="s">
        <v>131</v>
      </c>
      <c r="B202" t="s">
        <v>132</v>
      </c>
      <c r="C202" t="s">
        <v>95</v>
      </c>
      <c r="D202" t="s">
        <v>101</v>
      </c>
      <c r="E202" t="s">
        <v>45</v>
      </c>
      <c r="F202">
        <v>19658.975999999999</v>
      </c>
      <c r="G202">
        <v>1368861.9909999999</v>
      </c>
      <c r="H202" s="10">
        <f>PIB_ACTIVIDADES[[#This Row],[PIB]]/PIB_ACTIVIDADES[[#This Row],[PIB TOTAL]]</f>
        <v>1.4361547131306095E-2</v>
      </c>
    </row>
    <row r="203" spans="1:8" hidden="1" x14ac:dyDescent="0.3">
      <c r="A203" t="s">
        <v>131</v>
      </c>
      <c r="B203" t="s">
        <v>132</v>
      </c>
      <c r="C203" t="s">
        <v>95</v>
      </c>
      <c r="D203" t="s">
        <v>101</v>
      </c>
      <c r="E203" t="s">
        <v>46</v>
      </c>
      <c r="F203">
        <v>21023.863000000001</v>
      </c>
      <c r="G203">
        <v>1469583.898</v>
      </c>
      <c r="H203" s="10">
        <f>PIB_ACTIVIDADES[[#This Row],[PIB]]/PIB_ACTIVIDADES[[#This Row],[PIB TOTAL]]</f>
        <v>1.430599711157151E-2</v>
      </c>
    </row>
    <row r="204" spans="1:8" hidden="1" x14ac:dyDescent="0.3">
      <c r="A204" t="s">
        <v>131</v>
      </c>
      <c r="B204" t="s">
        <v>132</v>
      </c>
      <c r="C204" t="s">
        <v>95</v>
      </c>
      <c r="D204" t="s">
        <v>101</v>
      </c>
      <c r="E204" t="s">
        <v>47</v>
      </c>
      <c r="F204">
        <v>24832.16</v>
      </c>
      <c r="G204">
        <v>1532409.5149999999</v>
      </c>
      <c r="H204" s="10">
        <f>PIB_ACTIVIDADES[[#This Row],[PIB]]/PIB_ACTIVIDADES[[#This Row],[PIB TOTAL]]</f>
        <v>1.6204650099683048E-2</v>
      </c>
    </row>
    <row r="205" spans="1:8" hidden="1" x14ac:dyDescent="0.3">
      <c r="A205" t="s">
        <v>131</v>
      </c>
      <c r="B205" t="s">
        <v>132</v>
      </c>
      <c r="C205" t="s">
        <v>95</v>
      </c>
      <c r="D205" t="s">
        <v>101</v>
      </c>
      <c r="E205" t="s">
        <v>48</v>
      </c>
      <c r="F205">
        <v>29612.807000000001</v>
      </c>
      <c r="G205">
        <v>1531655.04</v>
      </c>
      <c r="H205" s="10">
        <f>PIB_ACTIVIDADES[[#This Row],[PIB]]/PIB_ACTIVIDADES[[#This Row],[PIB TOTAL]]</f>
        <v>1.93338618857677E-2</v>
      </c>
    </row>
    <row r="206" spans="1:8" hidden="1" x14ac:dyDescent="0.3">
      <c r="A206" t="s">
        <v>131</v>
      </c>
      <c r="B206" t="s">
        <v>132</v>
      </c>
      <c r="C206" t="s">
        <v>95</v>
      </c>
      <c r="D206" t="s">
        <v>101</v>
      </c>
      <c r="E206" t="s">
        <v>49</v>
      </c>
      <c r="F206">
        <v>31684.855</v>
      </c>
      <c r="G206">
        <v>1411038.652</v>
      </c>
      <c r="H206" s="10">
        <f>PIB_ACTIVIDADES[[#This Row],[PIB]]/PIB_ACTIVIDADES[[#This Row],[PIB TOTAL]]</f>
        <v>2.2454987292580556E-2</v>
      </c>
    </row>
    <row r="207" spans="1:8" hidden="1" x14ac:dyDescent="0.3">
      <c r="A207" t="s">
        <v>131</v>
      </c>
      <c r="B207" t="s">
        <v>132</v>
      </c>
      <c r="C207" t="s">
        <v>95</v>
      </c>
      <c r="D207" t="s">
        <v>101</v>
      </c>
      <c r="E207" t="s">
        <v>50</v>
      </c>
      <c r="F207">
        <v>38865.351000000002</v>
      </c>
      <c r="G207">
        <v>1509564.2709999999</v>
      </c>
      <c r="H207" s="10">
        <f>PIB_ACTIVIDADES[[#This Row],[PIB]]/PIB_ACTIVIDADES[[#This Row],[PIB TOTAL]]</f>
        <v>2.5746072390978047E-2</v>
      </c>
    </row>
    <row r="208" spans="1:8" hidden="1" x14ac:dyDescent="0.3">
      <c r="A208" t="s">
        <v>131</v>
      </c>
      <c r="B208" t="s">
        <v>132</v>
      </c>
      <c r="C208" t="s">
        <v>95</v>
      </c>
      <c r="D208" t="s">
        <v>101</v>
      </c>
      <c r="E208" t="s">
        <v>51</v>
      </c>
      <c r="F208">
        <v>40222.218999999997</v>
      </c>
      <c r="G208">
        <v>1558834.9950000001</v>
      </c>
      <c r="H208" s="10">
        <f>PIB_ACTIVIDADES[[#This Row],[PIB]]/PIB_ACTIVIDADES[[#This Row],[PIB TOTAL]]</f>
        <v>2.5802743156917642E-2</v>
      </c>
    </row>
    <row r="209" spans="1:8" hidden="1" x14ac:dyDescent="0.3">
      <c r="A209" t="s">
        <v>131</v>
      </c>
      <c r="B209" t="s">
        <v>132</v>
      </c>
      <c r="C209" t="s">
        <v>95</v>
      </c>
      <c r="D209" t="s">
        <v>101</v>
      </c>
      <c r="E209" t="s">
        <v>52</v>
      </c>
      <c r="F209">
        <v>42567.733</v>
      </c>
      <c r="G209">
        <v>1621930.2709999999</v>
      </c>
      <c r="H209" s="10">
        <f>PIB_ACTIVIDADES[[#This Row],[PIB]]/PIB_ACTIVIDADES[[#This Row],[PIB TOTAL]]</f>
        <v>2.6245106686217094E-2</v>
      </c>
    </row>
    <row r="210" spans="1:8" hidden="1" x14ac:dyDescent="0.3">
      <c r="A210" t="s">
        <v>131</v>
      </c>
      <c r="B210" t="s">
        <v>132</v>
      </c>
      <c r="C210" t="s">
        <v>95</v>
      </c>
      <c r="D210" t="s">
        <v>101</v>
      </c>
      <c r="E210" t="s">
        <v>53</v>
      </c>
      <c r="F210">
        <v>50815.754999999997</v>
      </c>
      <c r="G210">
        <v>1611568.7879999999</v>
      </c>
      <c r="H210" s="10">
        <f>PIB_ACTIVIDADES[[#This Row],[PIB]]/PIB_ACTIVIDADES[[#This Row],[PIB TOTAL]]</f>
        <v>3.1531856026489391E-2</v>
      </c>
    </row>
    <row r="211" spans="1:8" hidden="1" x14ac:dyDescent="0.3">
      <c r="A211" t="s">
        <v>131</v>
      </c>
      <c r="B211" t="s">
        <v>132</v>
      </c>
      <c r="C211" t="s">
        <v>95</v>
      </c>
      <c r="D211" t="s">
        <v>101</v>
      </c>
      <c r="E211" t="s">
        <v>54</v>
      </c>
      <c r="F211">
        <v>52198.747000000003</v>
      </c>
      <c r="G211">
        <v>1666974.7009999999</v>
      </c>
      <c r="H211" s="10">
        <f>PIB_ACTIVIDADES[[#This Row],[PIB]]/PIB_ACTIVIDADES[[#This Row],[PIB TOTAL]]</f>
        <v>3.131346082738181E-2</v>
      </c>
    </row>
    <row r="212" spans="1:8" hidden="1" x14ac:dyDescent="0.3">
      <c r="A212" t="s">
        <v>131</v>
      </c>
      <c r="B212" t="s">
        <v>132</v>
      </c>
      <c r="C212" t="s">
        <v>95</v>
      </c>
      <c r="D212" t="s">
        <v>101</v>
      </c>
      <c r="E212" t="s">
        <v>55</v>
      </c>
      <c r="F212">
        <v>58740.665000000001</v>
      </c>
      <c r="G212">
        <v>1728163.9920000001</v>
      </c>
      <c r="H212" s="10">
        <f>PIB_ACTIVIDADES[[#This Row],[PIB]]/PIB_ACTIVIDADES[[#This Row],[PIB TOTAL]]</f>
        <v>3.3990214627733085E-2</v>
      </c>
    </row>
    <row r="213" spans="1:8" hidden="1" x14ac:dyDescent="0.3">
      <c r="A213" t="s">
        <v>131</v>
      </c>
      <c r="B213" t="s">
        <v>132</v>
      </c>
      <c r="C213" t="s">
        <v>95</v>
      </c>
      <c r="D213" t="s">
        <v>101</v>
      </c>
      <c r="E213" t="s">
        <v>56</v>
      </c>
      <c r="F213">
        <v>68086.73</v>
      </c>
      <c r="G213">
        <v>1743960.8829999999</v>
      </c>
      <c r="H213" s="10">
        <f>PIB_ACTIVIDADES[[#This Row],[PIB]]/PIB_ACTIVIDADES[[#This Row],[PIB TOTAL]]</f>
        <v>3.9041431871382176E-2</v>
      </c>
    </row>
    <row r="214" spans="1:8" hidden="1" x14ac:dyDescent="0.3">
      <c r="A214" t="s">
        <v>131</v>
      </c>
      <c r="B214" t="s">
        <v>132</v>
      </c>
      <c r="C214" t="s">
        <v>95</v>
      </c>
      <c r="D214" t="s">
        <v>101</v>
      </c>
      <c r="E214" t="s">
        <v>57</v>
      </c>
      <c r="F214">
        <v>79462.03</v>
      </c>
      <c r="G214">
        <v>1809343.5560000001</v>
      </c>
      <c r="H214" s="10">
        <f>PIB_ACTIVIDADES[[#This Row],[PIB]]/PIB_ACTIVIDADES[[#This Row],[PIB TOTAL]]</f>
        <v>4.3917601904013413E-2</v>
      </c>
    </row>
    <row r="215" spans="1:8" hidden="1" x14ac:dyDescent="0.3">
      <c r="A215" t="s">
        <v>131</v>
      </c>
      <c r="B215" t="s">
        <v>132</v>
      </c>
      <c r="C215" t="s">
        <v>95</v>
      </c>
      <c r="D215" t="s">
        <v>101</v>
      </c>
      <c r="E215" t="s">
        <v>58</v>
      </c>
      <c r="F215">
        <v>84133.881999999998</v>
      </c>
      <c r="G215">
        <v>1909026.4350000001</v>
      </c>
      <c r="H215" s="10">
        <f>PIB_ACTIVIDADES[[#This Row],[PIB]]/PIB_ACTIVIDADES[[#This Row],[PIB TOTAL]]</f>
        <v>4.4071617059613946E-2</v>
      </c>
    </row>
    <row r="216" spans="1:8" hidden="1" x14ac:dyDescent="0.3">
      <c r="A216" t="s">
        <v>131</v>
      </c>
      <c r="B216" t="s">
        <v>132</v>
      </c>
      <c r="C216" t="s">
        <v>95</v>
      </c>
      <c r="D216" t="s">
        <v>101</v>
      </c>
      <c r="E216" t="s">
        <v>59</v>
      </c>
      <c r="F216">
        <v>84746.209000000003</v>
      </c>
      <c r="G216">
        <v>1918825.0060000001</v>
      </c>
      <c r="H216" s="10">
        <f>PIB_ACTIVIDADES[[#This Row],[PIB]]/PIB_ACTIVIDADES[[#This Row],[PIB TOTAL]]</f>
        <v>4.4165678858158468E-2</v>
      </c>
    </row>
    <row r="217" spans="1:8" hidden="1" x14ac:dyDescent="0.3">
      <c r="A217" t="s">
        <v>131</v>
      </c>
      <c r="B217" t="s">
        <v>132</v>
      </c>
      <c r="C217" t="s">
        <v>95</v>
      </c>
      <c r="D217" t="s">
        <v>101</v>
      </c>
      <c r="E217" t="s">
        <v>60</v>
      </c>
      <c r="F217">
        <v>79600.606</v>
      </c>
      <c r="G217">
        <v>1743165.6229999999</v>
      </c>
      <c r="H217" s="10">
        <f>PIB_ACTIVIDADES[[#This Row],[PIB]]/PIB_ACTIVIDADES[[#This Row],[PIB TOTAL]]</f>
        <v>4.5664396400272519E-2</v>
      </c>
    </row>
    <row r="218" spans="1:8" hidden="1" x14ac:dyDescent="0.3">
      <c r="A218" t="s">
        <v>131</v>
      </c>
      <c r="B218" t="s">
        <v>132</v>
      </c>
      <c r="C218" t="s">
        <v>95</v>
      </c>
      <c r="D218" t="s">
        <v>101</v>
      </c>
      <c r="E218" t="s">
        <v>61</v>
      </c>
      <c r="F218">
        <v>79576.422999999995</v>
      </c>
      <c r="G218">
        <v>1865875.274</v>
      </c>
      <c r="H218" s="10">
        <f>PIB_ACTIVIDADES[[#This Row],[PIB]]/PIB_ACTIVIDADES[[#This Row],[PIB TOTAL]]</f>
        <v>4.2648307798948834E-2</v>
      </c>
    </row>
    <row r="219" spans="1:8" hidden="1" x14ac:dyDescent="0.3">
      <c r="A219" t="s">
        <v>131</v>
      </c>
      <c r="B219" t="s">
        <v>132</v>
      </c>
      <c r="C219" t="s">
        <v>95</v>
      </c>
      <c r="D219" t="s">
        <v>101</v>
      </c>
      <c r="E219" t="s">
        <v>62</v>
      </c>
      <c r="F219">
        <v>86707.577999999994</v>
      </c>
      <c r="G219">
        <v>1928658.429</v>
      </c>
      <c r="H219" s="10">
        <f>PIB_ACTIVIDADES[[#This Row],[PIB]]/PIB_ACTIVIDADES[[#This Row],[PIB TOTAL]]</f>
        <v>4.4957456798069451E-2</v>
      </c>
    </row>
    <row r="220" spans="1:8" hidden="1" x14ac:dyDescent="0.3">
      <c r="A220" t="s">
        <v>131</v>
      </c>
      <c r="B220" t="s">
        <v>132</v>
      </c>
      <c r="C220" t="s">
        <v>95</v>
      </c>
      <c r="D220" t="s">
        <v>101</v>
      </c>
      <c r="E220" t="s">
        <v>63</v>
      </c>
      <c r="F220">
        <v>93268.062000000005</v>
      </c>
      <c r="G220">
        <v>1991519.7</v>
      </c>
      <c r="H220" s="10">
        <f>PIB_ACTIVIDADES[[#This Row],[PIB]]/PIB_ACTIVIDADES[[#This Row],[PIB TOTAL]]</f>
        <v>4.6832608284015469E-2</v>
      </c>
    </row>
    <row r="221" spans="1:8" hidden="1" x14ac:dyDescent="0.3">
      <c r="A221" t="s">
        <v>131</v>
      </c>
      <c r="B221" t="s">
        <v>132</v>
      </c>
      <c r="C221" t="s">
        <v>95</v>
      </c>
      <c r="D221" t="s">
        <v>101</v>
      </c>
      <c r="E221" t="s">
        <v>64</v>
      </c>
      <c r="F221">
        <v>98039.827999999994</v>
      </c>
      <c r="G221">
        <v>2059995.5649999999</v>
      </c>
      <c r="H221" s="10">
        <f>PIB_ACTIVIDADES[[#This Row],[PIB]]/PIB_ACTIVIDADES[[#This Row],[PIB TOTAL]]</f>
        <v>4.7592251976523066E-2</v>
      </c>
    </row>
    <row r="222" spans="1:8" hidden="1" x14ac:dyDescent="0.3">
      <c r="A222" t="s">
        <v>133</v>
      </c>
      <c r="B222" t="s">
        <v>134</v>
      </c>
      <c r="C222" t="s">
        <v>95</v>
      </c>
      <c r="D222" t="s">
        <v>102</v>
      </c>
      <c r="E222" t="s">
        <v>43</v>
      </c>
      <c r="F222">
        <v>75549.243000000002</v>
      </c>
      <c r="G222">
        <v>1289662.122</v>
      </c>
      <c r="H222" s="10">
        <f>PIB_ACTIVIDADES[[#This Row],[PIB]]/PIB_ACTIVIDADES[[#This Row],[PIB TOTAL]]</f>
        <v>5.8580648149019608E-2</v>
      </c>
    </row>
    <row r="223" spans="1:8" hidden="1" x14ac:dyDescent="0.3">
      <c r="A223" t="s">
        <v>133</v>
      </c>
      <c r="B223" t="s">
        <v>134</v>
      </c>
      <c r="C223" t="s">
        <v>95</v>
      </c>
      <c r="D223" t="s">
        <v>102</v>
      </c>
      <c r="E223" t="s">
        <v>44</v>
      </c>
      <c r="F223">
        <v>79502.857000000004</v>
      </c>
      <c r="G223">
        <v>1335507.8389999999</v>
      </c>
      <c r="H223" s="10">
        <f>PIB_ACTIVIDADES[[#This Row],[PIB]]/PIB_ACTIVIDADES[[#This Row],[PIB TOTAL]]</f>
        <v>5.953005641623943E-2</v>
      </c>
    </row>
    <row r="224" spans="1:8" hidden="1" x14ac:dyDescent="0.3">
      <c r="A224" t="s">
        <v>133</v>
      </c>
      <c r="B224" t="s">
        <v>134</v>
      </c>
      <c r="C224" t="s">
        <v>95</v>
      </c>
      <c r="D224" t="s">
        <v>102</v>
      </c>
      <c r="E224" t="s">
        <v>45</v>
      </c>
      <c r="F224">
        <v>81337.86</v>
      </c>
      <c r="G224">
        <v>1368861.9909999999</v>
      </c>
      <c r="H224" s="10">
        <f>PIB_ACTIVIDADES[[#This Row],[PIB]]/PIB_ACTIVIDADES[[#This Row],[PIB TOTAL]]</f>
        <v>5.942005880416034E-2</v>
      </c>
    </row>
    <row r="225" spans="1:8" hidden="1" x14ac:dyDescent="0.3">
      <c r="A225" t="s">
        <v>133</v>
      </c>
      <c r="B225" t="s">
        <v>134</v>
      </c>
      <c r="C225" t="s">
        <v>95</v>
      </c>
      <c r="D225" t="s">
        <v>102</v>
      </c>
      <c r="E225" t="s">
        <v>46</v>
      </c>
      <c r="F225">
        <v>86137.346000000005</v>
      </c>
      <c r="G225">
        <v>1469583.898</v>
      </c>
      <c r="H225" s="10">
        <f>PIB_ACTIVIDADES[[#This Row],[PIB]]/PIB_ACTIVIDADES[[#This Row],[PIB TOTAL]]</f>
        <v>5.8613425281283264E-2</v>
      </c>
    </row>
    <row r="226" spans="1:8" hidden="1" x14ac:dyDescent="0.3">
      <c r="A226" t="s">
        <v>133</v>
      </c>
      <c r="B226" t="s">
        <v>134</v>
      </c>
      <c r="C226" t="s">
        <v>95</v>
      </c>
      <c r="D226" t="s">
        <v>102</v>
      </c>
      <c r="E226" t="s">
        <v>47</v>
      </c>
      <c r="F226">
        <v>89736.407999999996</v>
      </c>
      <c r="G226">
        <v>1532409.5149999999</v>
      </c>
      <c r="H226" s="10">
        <f>PIB_ACTIVIDADES[[#This Row],[PIB]]/PIB_ACTIVIDADES[[#This Row],[PIB TOTAL]]</f>
        <v>5.8559025587882757E-2</v>
      </c>
    </row>
    <row r="227" spans="1:8" hidden="1" x14ac:dyDescent="0.3">
      <c r="A227" t="s">
        <v>133</v>
      </c>
      <c r="B227" t="s">
        <v>134</v>
      </c>
      <c r="C227" t="s">
        <v>95</v>
      </c>
      <c r="D227" t="s">
        <v>102</v>
      </c>
      <c r="E227" t="s">
        <v>48</v>
      </c>
      <c r="F227">
        <v>93324.553</v>
      </c>
      <c r="G227">
        <v>1531655.04</v>
      </c>
      <c r="H227" s="10">
        <f>PIB_ACTIVIDADES[[#This Row],[PIB]]/PIB_ACTIVIDADES[[#This Row],[PIB TOTAL]]</f>
        <v>6.0930529762106223E-2</v>
      </c>
    </row>
    <row r="228" spans="1:8" hidden="1" x14ac:dyDescent="0.3">
      <c r="A228" t="s">
        <v>133</v>
      </c>
      <c r="B228" t="s">
        <v>134</v>
      </c>
      <c r="C228" t="s">
        <v>95</v>
      </c>
      <c r="D228" t="s">
        <v>102</v>
      </c>
      <c r="E228" t="s">
        <v>49</v>
      </c>
      <c r="F228">
        <v>92078.716</v>
      </c>
      <c r="G228">
        <v>1411038.652</v>
      </c>
      <c r="H228" s="10">
        <f>PIB_ACTIVIDADES[[#This Row],[PIB]]/PIB_ACTIVIDADES[[#This Row],[PIB TOTAL]]</f>
        <v>6.5255984213818688E-2</v>
      </c>
    </row>
    <row r="229" spans="1:8" hidden="1" x14ac:dyDescent="0.3">
      <c r="A229" t="s">
        <v>133</v>
      </c>
      <c r="B229" t="s">
        <v>134</v>
      </c>
      <c r="C229" t="s">
        <v>95</v>
      </c>
      <c r="D229" t="s">
        <v>102</v>
      </c>
      <c r="E229" t="s">
        <v>50</v>
      </c>
      <c r="F229">
        <v>94524.017999999996</v>
      </c>
      <c r="G229">
        <v>1509564.2709999999</v>
      </c>
      <c r="H229" s="10">
        <f>PIB_ACTIVIDADES[[#This Row],[PIB]]/PIB_ACTIVIDADES[[#This Row],[PIB TOTAL]]</f>
        <v>6.2616756249393238E-2</v>
      </c>
    </row>
    <row r="230" spans="1:8" hidden="1" x14ac:dyDescent="0.3">
      <c r="A230" t="s">
        <v>133</v>
      </c>
      <c r="B230" t="s">
        <v>134</v>
      </c>
      <c r="C230" t="s">
        <v>95</v>
      </c>
      <c r="D230" t="s">
        <v>102</v>
      </c>
      <c r="E230" t="s">
        <v>51</v>
      </c>
      <c r="F230">
        <v>97200.135999999999</v>
      </c>
      <c r="G230">
        <v>1558834.9950000001</v>
      </c>
      <c r="H230" s="10">
        <f>PIB_ACTIVIDADES[[#This Row],[PIB]]/PIB_ACTIVIDADES[[#This Row],[PIB TOTAL]]</f>
        <v>6.2354345592555802E-2</v>
      </c>
    </row>
    <row r="231" spans="1:8" hidden="1" x14ac:dyDescent="0.3">
      <c r="A231" t="s">
        <v>133</v>
      </c>
      <c r="B231" t="s">
        <v>134</v>
      </c>
      <c r="C231" t="s">
        <v>95</v>
      </c>
      <c r="D231" t="s">
        <v>102</v>
      </c>
      <c r="E231" t="s">
        <v>52</v>
      </c>
      <c r="F231">
        <v>100547.16499999999</v>
      </c>
      <c r="G231">
        <v>1621930.2709999999</v>
      </c>
      <c r="H231" s="10">
        <f>PIB_ACTIVIDADES[[#This Row],[PIB]]/PIB_ACTIVIDADES[[#This Row],[PIB TOTAL]]</f>
        <v>6.1992285857028678E-2</v>
      </c>
    </row>
    <row r="232" spans="1:8" hidden="1" x14ac:dyDescent="0.3">
      <c r="A232" t="s">
        <v>133</v>
      </c>
      <c r="B232" t="s">
        <v>134</v>
      </c>
      <c r="C232" t="s">
        <v>95</v>
      </c>
      <c r="D232" t="s">
        <v>102</v>
      </c>
      <c r="E232" t="s">
        <v>53</v>
      </c>
      <c r="F232">
        <v>101284.50199999999</v>
      </c>
      <c r="G232">
        <v>1611568.7879999999</v>
      </c>
      <c r="H232" s="10">
        <f>PIB_ACTIVIDADES[[#This Row],[PIB]]/PIB_ACTIVIDADES[[#This Row],[PIB TOTAL]]</f>
        <v>6.2848388945095396E-2</v>
      </c>
    </row>
    <row r="233" spans="1:8" hidden="1" x14ac:dyDescent="0.3">
      <c r="A233" t="s">
        <v>133</v>
      </c>
      <c r="B233" t="s">
        <v>134</v>
      </c>
      <c r="C233" t="s">
        <v>95</v>
      </c>
      <c r="D233" t="s">
        <v>102</v>
      </c>
      <c r="E233" t="s">
        <v>54</v>
      </c>
      <c r="F233">
        <v>104272.1</v>
      </c>
      <c r="G233">
        <v>1666974.7009999999</v>
      </c>
      <c r="H233" s="10">
        <f>PIB_ACTIVIDADES[[#This Row],[PIB]]/PIB_ACTIVIDADES[[#This Row],[PIB TOTAL]]</f>
        <v>6.255169915743071E-2</v>
      </c>
    </row>
    <row r="234" spans="1:8" hidden="1" x14ac:dyDescent="0.3">
      <c r="A234" t="s">
        <v>133</v>
      </c>
      <c r="B234" t="s">
        <v>134</v>
      </c>
      <c r="C234" t="s">
        <v>95</v>
      </c>
      <c r="D234" t="s">
        <v>102</v>
      </c>
      <c r="E234" t="s">
        <v>55</v>
      </c>
      <c r="F234">
        <v>107390.25599999999</v>
      </c>
      <c r="G234">
        <v>1728163.9920000001</v>
      </c>
      <c r="H234" s="10">
        <f>PIB_ACTIVIDADES[[#This Row],[PIB]]/PIB_ACTIVIDADES[[#This Row],[PIB TOTAL]]</f>
        <v>6.2141241512454794E-2</v>
      </c>
    </row>
    <row r="235" spans="1:8" hidden="1" x14ac:dyDescent="0.3">
      <c r="A235" t="s">
        <v>133</v>
      </c>
      <c r="B235" t="s">
        <v>134</v>
      </c>
      <c r="C235" t="s">
        <v>95</v>
      </c>
      <c r="D235" t="s">
        <v>102</v>
      </c>
      <c r="E235" t="s">
        <v>56</v>
      </c>
      <c r="F235">
        <v>110258.179</v>
      </c>
      <c r="G235">
        <v>1743960.8829999999</v>
      </c>
      <c r="H235" s="10">
        <f>PIB_ACTIVIDADES[[#This Row],[PIB]]/PIB_ACTIVIDADES[[#This Row],[PIB TOTAL]]</f>
        <v>6.3222850968039757E-2</v>
      </c>
    </row>
    <row r="236" spans="1:8" hidden="1" x14ac:dyDescent="0.3">
      <c r="A236" t="s">
        <v>133</v>
      </c>
      <c r="B236" t="s">
        <v>134</v>
      </c>
      <c r="C236" t="s">
        <v>95</v>
      </c>
      <c r="D236" t="s">
        <v>102</v>
      </c>
      <c r="E236" t="s">
        <v>57</v>
      </c>
      <c r="F236">
        <v>112473.03</v>
      </c>
      <c r="G236">
        <v>1809343.5560000001</v>
      </c>
      <c r="H236" s="10">
        <f>PIB_ACTIVIDADES[[#This Row],[PIB]]/PIB_ACTIVIDADES[[#This Row],[PIB TOTAL]]</f>
        <v>6.2162340384182953E-2</v>
      </c>
    </row>
    <row r="237" spans="1:8" hidden="1" x14ac:dyDescent="0.3">
      <c r="A237" t="s">
        <v>133</v>
      </c>
      <c r="B237" t="s">
        <v>134</v>
      </c>
      <c r="C237" t="s">
        <v>95</v>
      </c>
      <c r="D237" t="s">
        <v>102</v>
      </c>
      <c r="E237" t="s">
        <v>58</v>
      </c>
      <c r="F237">
        <v>115263.66800000001</v>
      </c>
      <c r="G237">
        <v>1909026.4350000001</v>
      </c>
      <c r="H237" s="10">
        <f>PIB_ACTIVIDADES[[#This Row],[PIB]]/PIB_ACTIVIDADES[[#This Row],[PIB TOTAL]]</f>
        <v>6.0378246150373502E-2</v>
      </c>
    </row>
    <row r="238" spans="1:8" hidden="1" x14ac:dyDescent="0.3">
      <c r="A238" t="s">
        <v>133</v>
      </c>
      <c r="B238" t="s">
        <v>134</v>
      </c>
      <c r="C238" t="s">
        <v>95</v>
      </c>
      <c r="D238" t="s">
        <v>102</v>
      </c>
      <c r="E238" t="s">
        <v>59</v>
      </c>
      <c r="F238">
        <v>118408.72199999999</v>
      </c>
      <c r="G238">
        <v>1918825.0060000001</v>
      </c>
      <c r="H238" s="10">
        <f>PIB_ACTIVIDADES[[#This Row],[PIB]]/PIB_ACTIVIDADES[[#This Row],[PIB TOTAL]]</f>
        <v>6.17089737885144E-2</v>
      </c>
    </row>
    <row r="239" spans="1:8" hidden="1" x14ac:dyDescent="0.3">
      <c r="A239" t="s">
        <v>133</v>
      </c>
      <c r="B239" t="s">
        <v>134</v>
      </c>
      <c r="C239" t="s">
        <v>95</v>
      </c>
      <c r="D239" t="s">
        <v>102</v>
      </c>
      <c r="E239" t="s">
        <v>60</v>
      </c>
      <c r="F239">
        <v>118280.624</v>
      </c>
      <c r="G239">
        <v>1743165.6229999999</v>
      </c>
      <c r="H239" s="10">
        <f>PIB_ACTIVIDADES[[#This Row],[PIB]]/PIB_ACTIVIDADES[[#This Row],[PIB TOTAL]]</f>
        <v>6.7853921876016715E-2</v>
      </c>
    </row>
    <row r="240" spans="1:8" hidden="1" x14ac:dyDescent="0.3">
      <c r="A240" t="s">
        <v>133</v>
      </c>
      <c r="B240" t="s">
        <v>134</v>
      </c>
      <c r="C240" t="s">
        <v>95</v>
      </c>
      <c r="D240" t="s">
        <v>102</v>
      </c>
      <c r="E240" t="s">
        <v>61</v>
      </c>
      <c r="F240">
        <v>126775.257</v>
      </c>
      <c r="G240">
        <v>1865875.274</v>
      </c>
      <c r="H240" s="10">
        <f>PIB_ACTIVIDADES[[#This Row],[PIB]]/PIB_ACTIVIDADES[[#This Row],[PIB TOTAL]]</f>
        <v>6.7944121864171286E-2</v>
      </c>
    </row>
    <row r="241" spans="1:8" hidden="1" x14ac:dyDescent="0.3">
      <c r="A241" t="s">
        <v>133</v>
      </c>
      <c r="B241" t="s">
        <v>134</v>
      </c>
      <c r="C241" t="s">
        <v>95</v>
      </c>
      <c r="D241" t="s">
        <v>102</v>
      </c>
      <c r="E241" t="s">
        <v>62</v>
      </c>
      <c r="F241">
        <v>132497.76300000001</v>
      </c>
      <c r="G241">
        <v>1928658.429</v>
      </c>
      <c r="H241" s="10">
        <f>PIB_ACTIVIDADES[[#This Row],[PIB]]/PIB_ACTIVIDADES[[#This Row],[PIB TOTAL]]</f>
        <v>6.8699444654230168E-2</v>
      </c>
    </row>
    <row r="242" spans="1:8" hidden="1" x14ac:dyDescent="0.3">
      <c r="A242" t="s">
        <v>133</v>
      </c>
      <c r="B242" t="s">
        <v>134</v>
      </c>
      <c r="C242" t="s">
        <v>95</v>
      </c>
      <c r="D242" t="s">
        <v>102</v>
      </c>
      <c r="E242" t="s">
        <v>63</v>
      </c>
      <c r="F242">
        <v>136740.59700000001</v>
      </c>
      <c r="G242">
        <v>1991519.7</v>
      </c>
      <c r="H242" s="10">
        <f>PIB_ACTIVIDADES[[#This Row],[PIB]]/PIB_ACTIVIDADES[[#This Row],[PIB TOTAL]]</f>
        <v>6.8661433276306541E-2</v>
      </c>
    </row>
    <row r="243" spans="1:8" hidden="1" x14ac:dyDescent="0.3">
      <c r="A243" t="s">
        <v>133</v>
      </c>
      <c r="B243" t="s">
        <v>134</v>
      </c>
      <c r="C243" t="s">
        <v>95</v>
      </c>
      <c r="D243" t="s">
        <v>102</v>
      </c>
      <c r="E243" t="s">
        <v>64</v>
      </c>
      <c r="F243">
        <v>137335.04699999999</v>
      </c>
      <c r="G243">
        <v>2059995.5649999999</v>
      </c>
      <c r="H243" s="10">
        <f>PIB_ACTIVIDADES[[#This Row],[PIB]]/PIB_ACTIVIDADES[[#This Row],[PIB TOTAL]]</f>
        <v>6.6667642073297367E-2</v>
      </c>
    </row>
    <row r="244" spans="1:8" hidden="1" x14ac:dyDescent="0.3">
      <c r="A244" t="s">
        <v>135</v>
      </c>
      <c r="B244" t="s">
        <v>136</v>
      </c>
      <c r="C244" t="s">
        <v>95</v>
      </c>
      <c r="D244" t="s">
        <v>101</v>
      </c>
      <c r="E244" t="s">
        <v>43</v>
      </c>
      <c r="F244">
        <v>26141.605</v>
      </c>
      <c r="G244">
        <v>1289662.122</v>
      </c>
      <c r="H244" s="10">
        <f>PIB_ACTIVIDADES[[#This Row],[PIB]]/PIB_ACTIVIDADES[[#This Row],[PIB TOTAL]]</f>
        <v>2.027011924600822E-2</v>
      </c>
    </row>
    <row r="245" spans="1:8" hidden="1" x14ac:dyDescent="0.3">
      <c r="A245" t="s">
        <v>135</v>
      </c>
      <c r="B245" t="s">
        <v>136</v>
      </c>
      <c r="C245" t="s">
        <v>95</v>
      </c>
      <c r="D245" t="s">
        <v>101</v>
      </c>
      <c r="E245" t="s">
        <v>44</v>
      </c>
      <c r="F245">
        <v>27993.473000000002</v>
      </c>
      <c r="G245">
        <v>1335507.8389999999</v>
      </c>
      <c r="H245" s="10">
        <f>PIB_ACTIVIDADES[[#This Row],[PIB]]/PIB_ACTIVIDADES[[#This Row],[PIB TOTAL]]</f>
        <v>2.0960920020477697E-2</v>
      </c>
    </row>
    <row r="246" spans="1:8" hidden="1" x14ac:dyDescent="0.3">
      <c r="A246" t="s">
        <v>135</v>
      </c>
      <c r="B246" t="s">
        <v>136</v>
      </c>
      <c r="C246" t="s">
        <v>95</v>
      </c>
      <c r="D246" t="s">
        <v>101</v>
      </c>
      <c r="E246" t="s">
        <v>45</v>
      </c>
      <c r="F246">
        <v>29420.565999999999</v>
      </c>
      <c r="G246">
        <v>1368861.9909999999</v>
      </c>
      <c r="H246" s="10">
        <f>PIB_ACTIVIDADES[[#This Row],[PIB]]/PIB_ACTIVIDADES[[#This Row],[PIB TOTAL]]</f>
        <v>2.1492718910623914E-2</v>
      </c>
    </row>
    <row r="247" spans="1:8" hidden="1" x14ac:dyDescent="0.3">
      <c r="A247" t="s">
        <v>135</v>
      </c>
      <c r="B247" t="s">
        <v>136</v>
      </c>
      <c r="C247" t="s">
        <v>95</v>
      </c>
      <c r="D247" t="s">
        <v>101</v>
      </c>
      <c r="E247" t="s">
        <v>46</v>
      </c>
      <c r="F247">
        <v>29985.760999999999</v>
      </c>
      <c r="G247">
        <v>1469583.898</v>
      </c>
      <c r="H247" s="10">
        <f>PIB_ACTIVIDADES[[#This Row],[PIB]]/PIB_ACTIVIDADES[[#This Row],[PIB TOTAL]]</f>
        <v>2.0404252551221132E-2</v>
      </c>
    </row>
    <row r="248" spans="1:8" hidden="1" x14ac:dyDescent="0.3">
      <c r="A248" t="s">
        <v>135</v>
      </c>
      <c r="B248" t="s">
        <v>136</v>
      </c>
      <c r="C248" t="s">
        <v>95</v>
      </c>
      <c r="D248" t="s">
        <v>101</v>
      </c>
      <c r="E248" t="s">
        <v>47</v>
      </c>
      <c r="F248">
        <v>32327.546999999999</v>
      </c>
      <c r="G248">
        <v>1532409.5149999999</v>
      </c>
      <c r="H248" s="10">
        <f>PIB_ACTIVIDADES[[#This Row],[PIB]]/PIB_ACTIVIDADES[[#This Row],[PIB TOTAL]]</f>
        <v>2.1095892895183439E-2</v>
      </c>
    </row>
    <row r="249" spans="1:8" hidden="1" x14ac:dyDescent="0.3">
      <c r="A249" t="s">
        <v>135</v>
      </c>
      <c r="B249" t="s">
        <v>136</v>
      </c>
      <c r="C249" t="s">
        <v>95</v>
      </c>
      <c r="D249" t="s">
        <v>101</v>
      </c>
      <c r="E249" t="s">
        <v>48</v>
      </c>
      <c r="F249">
        <v>33253.315999999999</v>
      </c>
      <c r="G249">
        <v>1531655.04</v>
      </c>
      <c r="H249" s="10">
        <f>PIB_ACTIVIDADES[[#This Row],[PIB]]/PIB_ACTIVIDADES[[#This Row],[PIB TOTAL]]</f>
        <v>2.1710708437325418E-2</v>
      </c>
    </row>
    <row r="250" spans="1:8" hidden="1" x14ac:dyDescent="0.3">
      <c r="A250" t="s">
        <v>135</v>
      </c>
      <c r="B250" t="s">
        <v>136</v>
      </c>
      <c r="C250" t="s">
        <v>95</v>
      </c>
      <c r="D250" t="s">
        <v>101</v>
      </c>
      <c r="E250" t="s">
        <v>49</v>
      </c>
      <c r="F250">
        <v>33514.010999999999</v>
      </c>
      <c r="G250">
        <v>1411038.652</v>
      </c>
      <c r="H250" s="10">
        <f>PIB_ACTIVIDADES[[#This Row],[PIB]]/PIB_ACTIVIDADES[[#This Row],[PIB TOTAL]]</f>
        <v>2.3751306140691035E-2</v>
      </c>
    </row>
    <row r="251" spans="1:8" hidden="1" x14ac:dyDescent="0.3">
      <c r="A251" t="s">
        <v>135</v>
      </c>
      <c r="B251" t="s">
        <v>136</v>
      </c>
      <c r="C251" t="s">
        <v>95</v>
      </c>
      <c r="D251" t="s">
        <v>101</v>
      </c>
      <c r="E251" t="s">
        <v>50</v>
      </c>
      <c r="F251">
        <v>31679.454000000002</v>
      </c>
      <c r="G251">
        <v>1509564.2709999999</v>
      </c>
      <c r="H251" s="10">
        <f>PIB_ACTIVIDADES[[#This Row],[PIB]]/PIB_ACTIVIDADES[[#This Row],[PIB TOTAL]]</f>
        <v>2.0985826578297444E-2</v>
      </c>
    </row>
    <row r="252" spans="1:8" hidden="1" x14ac:dyDescent="0.3">
      <c r="A252" t="s">
        <v>135</v>
      </c>
      <c r="B252" t="s">
        <v>136</v>
      </c>
      <c r="C252" t="s">
        <v>95</v>
      </c>
      <c r="D252" t="s">
        <v>101</v>
      </c>
      <c r="E252" t="s">
        <v>51</v>
      </c>
      <c r="F252">
        <v>32878.94</v>
      </c>
      <c r="G252">
        <v>1558834.9950000001</v>
      </c>
      <c r="H252" s="10">
        <f>PIB_ACTIVIDADES[[#This Row],[PIB]]/PIB_ACTIVIDADES[[#This Row],[PIB TOTAL]]</f>
        <v>2.109199505108621E-2</v>
      </c>
    </row>
    <row r="253" spans="1:8" hidden="1" x14ac:dyDescent="0.3">
      <c r="A253" t="s">
        <v>135</v>
      </c>
      <c r="B253" t="s">
        <v>136</v>
      </c>
      <c r="C253" t="s">
        <v>95</v>
      </c>
      <c r="D253" t="s">
        <v>101</v>
      </c>
      <c r="E253" t="s">
        <v>52</v>
      </c>
      <c r="F253">
        <v>35002.773000000001</v>
      </c>
      <c r="G253">
        <v>1621930.2709999999</v>
      </c>
      <c r="H253" s="10">
        <f>PIB_ACTIVIDADES[[#This Row],[PIB]]/PIB_ACTIVIDADES[[#This Row],[PIB TOTAL]]</f>
        <v>2.1580935768847242E-2</v>
      </c>
    </row>
    <row r="254" spans="1:8" hidden="1" x14ac:dyDescent="0.3">
      <c r="A254" t="s">
        <v>135</v>
      </c>
      <c r="B254" t="s">
        <v>136</v>
      </c>
      <c r="C254" t="s">
        <v>95</v>
      </c>
      <c r="D254" t="s">
        <v>101</v>
      </c>
      <c r="E254" t="s">
        <v>53</v>
      </c>
      <c r="F254">
        <v>33324.762999999999</v>
      </c>
      <c r="G254">
        <v>1611568.7879999999</v>
      </c>
      <c r="H254" s="10">
        <f>PIB_ACTIVIDADES[[#This Row],[PIB]]/PIB_ACTIVIDADES[[#This Row],[PIB TOTAL]]</f>
        <v>2.0678461414828542E-2</v>
      </c>
    </row>
    <row r="255" spans="1:8" hidden="1" x14ac:dyDescent="0.3">
      <c r="A255" t="s">
        <v>135</v>
      </c>
      <c r="B255" t="s">
        <v>136</v>
      </c>
      <c r="C255" t="s">
        <v>95</v>
      </c>
      <c r="D255" t="s">
        <v>101</v>
      </c>
      <c r="E255" t="s">
        <v>54</v>
      </c>
      <c r="F255">
        <v>32929.171999999999</v>
      </c>
      <c r="G255">
        <v>1666974.7009999999</v>
      </c>
      <c r="H255" s="10">
        <f>PIB_ACTIVIDADES[[#This Row],[PIB]]/PIB_ACTIVIDADES[[#This Row],[PIB TOTAL]]</f>
        <v>1.9753852281169083E-2</v>
      </c>
    </row>
    <row r="256" spans="1:8" hidden="1" x14ac:dyDescent="0.3">
      <c r="A256" t="s">
        <v>135</v>
      </c>
      <c r="B256" t="s">
        <v>136</v>
      </c>
      <c r="C256" t="s">
        <v>95</v>
      </c>
      <c r="D256" t="s">
        <v>101</v>
      </c>
      <c r="E256" t="s">
        <v>55</v>
      </c>
      <c r="F256">
        <v>35441.47</v>
      </c>
      <c r="G256">
        <v>1728163.9920000001</v>
      </c>
      <c r="H256" s="10">
        <f>PIB_ACTIVIDADES[[#This Row],[PIB]]/PIB_ACTIVIDADES[[#This Row],[PIB TOTAL]]</f>
        <v>2.0508163672004108E-2</v>
      </c>
    </row>
    <row r="257" spans="1:8" hidden="1" x14ac:dyDescent="0.3">
      <c r="A257" t="s">
        <v>135</v>
      </c>
      <c r="B257" t="s">
        <v>136</v>
      </c>
      <c r="C257" t="s">
        <v>95</v>
      </c>
      <c r="D257" t="s">
        <v>101</v>
      </c>
      <c r="E257" t="s">
        <v>56</v>
      </c>
      <c r="F257">
        <v>38083.987000000001</v>
      </c>
      <c r="G257">
        <v>1743960.8829999999</v>
      </c>
      <c r="H257" s="10">
        <f>PIB_ACTIVIDADES[[#This Row],[PIB]]/PIB_ACTIVIDADES[[#This Row],[PIB TOTAL]]</f>
        <v>2.1837638315881883E-2</v>
      </c>
    </row>
    <row r="258" spans="1:8" hidden="1" x14ac:dyDescent="0.3">
      <c r="A258" t="s">
        <v>135</v>
      </c>
      <c r="B258" t="s">
        <v>136</v>
      </c>
      <c r="C258" t="s">
        <v>95</v>
      </c>
      <c r="D258" t="s">
        <v>101</v>
      </c>
      <c r="E258" t="s">
        <v>57</v>
      </c>
      <c r="F258">
        <v>38154.925999999999</v>
      </c>
      <c r="G258">
        <v>1809343.5560000001</v>
      </c>
      <c r="H258" s="10">
        <f>PIB_ACTIVIDADES[[#This Row],[PIB]]/PIB_ACTIVIDADES[[#This Row],[PIB TOTAL]]</f>
        <v>2.1087717627464222E-2</v>
      </c>
    </row>
    <row r="259" spans="1:8" hidden="1" x14ac:dyDescent="0.3">
      <c r="A259" t="s">
        <v>135</v>
      </c>
      <c r="B259" t="s">
        <v>136</v>
      </c>
      <c r="C259" t="s">
        <v>95</v>
      </c>
      <c r="D259" t="s">
        <v>101</v>
      </c>
      <c r="E259" t="s">
        <v>58</v>
      </c>
      <c r="F259">
        <v>37903.851999999999</v>
      </c>
      <c r="G259">
        <v>1909026.4350000001</v>
      </c>
      <c r="H259" s="10">
        <f>PIB_ACTIVIDADES[[#This Row],[PIB]]/PIB_ACTIVIDADES[[#This Row],[PIB TOTAL]]</f>
        <v>1.9855069214900628E-2</v>
      </c>
    </row>
    <row r="260" spans="1:8" hidden="1" x14ac:dyDescent="0.3">
      <c r="A260" t="s">
        <v>135</v>
      </c>
      <c r="B260" t="s">
        <v>136</v>
      </c>
      <c r="C260" t="s">
        <v>95</v>
      </c>
      <c r="D260" t="s">
        <v>101</v>
      </c>
      <c r="E260" t="s">
        <v>59</v>
      </c>
      <c r="F260">
        <v>38933.06</v>
      </c>
      <c r="G260">
        <v>1918825.0060000001</v>
      </c>
      <c r="H260" s="10">
        <f>PIB_ACTIVIDADES[[#This Row],[PIB]]/PIB_ACTIVIDADES[[#This Row],[PIB TOTAL]]</f>
        <v>2.0290052442645725E-2</v>
      </c>
    </row>
    <row r="261" spans="1:8" hidden="1" x14ac:dyDescent="0.3">
      <c r="A261" t="s">
        <v>135</v>
      </c>
      <c r="B261" t="s">
        <v>136</v>
      </c>
      <c r="C261" t="s">
        <v>95</v>
      </c>
      <c r="D261" t="s">
        <v>101</v>
      </c>
      <c r="E261" t="s">
        <v>60</v>
      </c>
      <c r="F261">
        <v>41869.991000000002</v>
      </c>
      <c r="G261">
        <v>1743165.6229999999</v>
      </c>
      <c r="H261" s="10">
        <f>PIB_ACTIVIDADES[[#This Row],[PIB]]/PIB_ACTIVIDADES[[#This Row],[PIB TOTAL]]</f>
        <v>2.4019513950683274E-2</v>
      </c>
    </row>
    <row r="262" spans="1:8" hidden="1" x14ac:dyDescent="0.3">
      <c r="A262" t="s">
        <v>135</v>
      </c>
      <c r="B262" t="s">
        <v>136</v>
      </c>
      <c r="C262" t="s">
        <v>95</v>
      </c>
      <c r="D262" t="s">
        <v>101</v>
      </c>
      <c r="E262" t="s">
        <v>61</v>
      </c>
      <c r="F262">
        <v>43273.3</v>
      </c>
      <c r="G262">
        <v>1865875.274</v>
      </c>
      <c r="H262" s="10">
        <f>PIB_ACTIVIDADES[[#This Row],[PIB]]/PIB_ACTIVIDADES[[#This Row],[PIB TOTAL]]</f>
        <v>2.3191957470572067E-2</v>
      </c>
    </row>
    <row r="263" spans="1:8" hidden="1" x14ac:dyDescent="0.3">
      <c r="A263" t="s">
        <v>135</v>
      </c>
      <c r="B263" t="s">
        <v>136</v>
      </c>
      <c r="C263" t="s">
        <v>95</v>
      </c>
      <c r="D263" t="s">
        <v>101</v>
      </c>
      <c r="E263" t="s">
        <v>62</v>
      </c>
      <c r="F263">
        <v>43715.999000000003</v>
      </c>
      <c r="G263">
        <v>1928658.429</v>
      </c>
      <c r="H263" s="10">
        <f>PIB_ACTIVIDADES[[#This Row],[PIB]]/PIB_ACTIVIDADES[[#This Row],[PIB TOTAL]]</f>
        <v>2.2666532519533038E-2</v>
      </c>
    </row>
    <row r="264" spans="1:8" hidden="1" x14ac:dyDescent="0.3">
      <c r="A264" t="s">
        <v>135</v>
      </c>
      <c r="B264" t="s">
        <v>136</v>
      </c>
      <c r="C264" t="s">
        <v>95</v>
      </c>
      <c r="D264" t="s">
        <v>101</v>
      </c>
      <c r="E264" t="s">
        <v>63</v>
      </c>
      <c r="F264">
        <v>45065.652000000002</v>
      </c>
      <c r="G264">
        <v>1991519.7</v>
      </c>
      <c r="H264" s="10">
        <f>PIB_ACTIVIDADES[[#This Row],[PIB]]/PIB_ACTIVIDADES[[#This Row],[PIB TOTAL]]</f>
        <v>2.2628775402020879E-2</v>
      </c>
    </row>
    <row r="265" spans="1:8" hidden="1" x14ac:dyDescent="0.3">
      <c r="A265" t="s">
        <v>135</v>
      </c>
      <c r="B265" t="s">
        <v>136</v>
      </c>
      <c r="C265" t="s">
        <v>95</v>
      </c>
      <c r="D265" t="s">
        <v>101</v>
      </c>
      <c r="E265" t="s">
        <v>64</v>
      </c>
      <c r="F265">
        <v>52174.415999999997</v>
      </c>
      <c r="G265">
        <v>2059995.5649999999</v>
      </c>
      <c r="H265" s="10">
        <f>PIB_ACTIVIDADES[[#This Row],[PIB]]/PIB_ACTIVIDADES[[#This Row],[PIB TOTAL]]</f>
        <v>2.5327440935534247E-2</v>
      </c>
    </row>
    <row r="266" spans="1:8" hidden="1" x14ac:dyDescent="0.3">
      <c r="A266" t="s">
        <v>137</v>
      </c>
      <c r="B266" t="s">
        <v>138</v>
      </c>
      <c r="C266" t="s">
        <v>95</v>
      </c>
      <c r="D266" t="s">
        <v>101</v>
      </c>
      <c r="E266" t="s">
        <v>43</v>
      </c>
      <c r="F266">
        <v>6986.4040000000005</v>
      </c>
      <c r="G266">
        <v>1289662.122</v>
      </c>
      <c r="H266" s="10">
        <f>PIB_ACTIVIDADES[[#This Row],[PIB]]/PIB_ACTIVIDADES[[#This Row],[PIB TOTAL]]</f>
        <v>5.4172359417407161E-3</v>
      </c>
    </row>
    <row r="267" spans="1:8" hidden="1" x14ac:dyDescent="0.3">
      <c r="A267" t="s">
        <v>137</v>
      </c>
      <c r="B267" t="s">
        <v>138</v>
      </c>
      <c r="C267" t="s">
        <v>95</v>
      </c>
      <c r="D267" t="s">
        <v>101</v>
      </c>
      <c r="E267" t="s">
        <v>44</v>
      </c>
      <c r="F267">
        <v>7056.1490000000003</v>
      </c>
      <c r="G267">
        <v>1335507.8389999999</v>
      </c>
      <c r="H267" s="10">
        <f>PIB_ACTIVIDADES[[#This Row],[PIB]]/PIB_ACTIVIDADES[[#This Row],[PIB TOTAL]]</f>
        <v>5.2834950076245868E-3</v>
      </c>
    </row>
    <row r="268" spans="1:8" hidden="1" x14ac:dyDescent="0.3">
      <c r="A268" t="s">
        <v>137</v>
      </c>
      <c r="B268" t="s">
        <v>138</v>
      </c>
      <c r="C268" t="s">
        <v>95</v>
      </c>
      <c r="D268" t="s">
        <v>101</v>
      </c>
      <c r="E268" t="s">
        <v>45</v>
      </c>
      <c r="F268">
        <v>7374.509</v>
      </c>
      <c r="G268">
        <v>1368861.9909999999</v>
      </c>
      <c r="H268" s="10">
        <f>PIB_ACTIVIDADES[[#This Row],[PIB]]/PIB_ACTIVIDADES[[#This Row],[PIB TOTAL]]</f>
        <v>5.3873283417071663E-3</v>
      </c>
    </row>
    <row r="269" spans="1:8" hidden="1" x14ac:dyDescent="0.3">
      <c r="A269" t="s">
        <v>137</v>
      </c>
      <c r="B269" t="s">
        <v>138</v>
      </c>
      <c r="C269" t="s">
        <v>95</v>
      </c>
      <c r="D269" t="s">
        <v>101</v>
      </c>
      <c r="E269" t="s">
        <v>46</v>
      </c>
      <c r="F269">
        <v>7886.299</v>
      </c>
      <c r="G269">
        <v>1469583.898</v>
      </c>
      <c r="H269" s="10">
        <f>PIB_ACTIVIDADES[[#This Row],[PIB]]/PIB_ACTIVIDADES[[#This Row],[PIB TOTAL]]</f>
        <v>5.3663482641125122E-3</v>
      </c>
    </row>
    <row r="270" spans="1:8" hidden="1" x14ac:dyDescent="0.3">
      <c r="A270" t="s">
        <v>137</v>
      </c>
      <c r="B270" t="s">
        <v>138</v>
      </c>
      <c r="C270" t="s">
        <v>95</v>
      </c>
      <c r="D270" t="s">
        <v>101</v>
      </c>
      <c r="E270" t="s">
        <v>47</v>
      </c>
      <c r="F270">
        <v>8085.01</v>
      </c>
      <c r="G270">
        <v>1532409.5149999999</v>
      </c>
      <c r="H270" s="10">
        <f>PIB_ACTIVIDADES[[#This Row],[PIB]]/PIB_ACTIVIDADES[[#This Row],[PIB TOTAL]]</f>
        <v>5.2760113539232368E-3</v>
      </c>
    </row>
    <row r="271" spans="1:8" hidden="1" x14ac:dyDescent="0.3">
      <c r="A271" t="s">
        <v>137</v>
      </c>
      <c r="B271" t="s">
        <v>138</v>
      </c>
      <c r="C271" t="s">
        <v>95</v>
      </c>
      <c r="D271" t="s">
        <v>101</v>
      </c>
      <c r="E271" t="s">
        <v>48</v>
      </c>
      <c r="F271">
        <v>8427.9159999999993</v>
      </c>
      <c r="G271">
        <v>1531655.04</v>
      </c>
      <c r="H271" s="10">
        <f>PIB_ACTIVIDADES[[#This Row],[PIB]]/PIB_ACTIVIDADES[[#This Row],[PIB TOTAL]]</f>
        <v>5.5024896467549241E-3</v>
      </c>
    </row>
    <row r="272" spans="1:8" hidden="1" x14ac:dyDescent="0.3">
      <c r="A272" t="s">
        <v>137</v>
      </c>
      <c r="B272" t="s">
        <v>138</v>
      </c>
      <c r="C272" t="s">
        <v>95</v>
      </c>
      <c r="D272" t="s">
        <v>101</v>
      </c>
      <c r="E272" t="s">
        <v>49</v>
      </c>
      <c r="F272">
        <v>7895.2439999999997</v>
      </c>
      <c r="G272">
        <v>1411038.652</v>
      </c>
      <c r="H272" s="10">
        <f>PIB_ACTIVIDADES[[#This Row],[PIB]]/PIB_ACTIVIDADES[[#This Row],[PIB TOTAL]]</f>
        <v>5.595342118239862E-3</v>
      </c>
    </row>
    <row r="273" spans="1:8" hidden="1" x14ac:dyDescent="0.3">
      <c r="A273" t="s">
        <v>137</v>
      </c>
      <c r="B273" t="s">
        <v>138</v>
      </c>
      <c r="C273" t="s">
        <v>95</v>
      </c>
      <c r="D273" t="s">
        <v>101</v>
      </c>
      <c r="E273" t="s">
        <v>50</v>
      </c>
      <c r="F273">
        <v>8321.5190000000002</v>
      </c>
      <c r="G273">
        <v>1509564.2709999999</v>
      </c>
      <c r="H273" s="10">
        <f>PIB_ACTIVIDADES[[#This Row],[PIB]]/PIB_ACTIVIDADES[[#This Row],[PIB TOTAL]]</f>
        <v>5.512530443296376E-3</v>
      </c>
    </row>
    <row r="274" spans="1:8" hidden="1" x14ac:dyDescent="0.3">
      <c r="A274" t="s">
        <v>137</v>
      </c>
      <c r="B274" t="s">
        <v>138</v>
      </c>
      <c r="C274" t="s">
        <v>95</v>
      </c>
      <c r="D274" t="s">
        <v>101</v>
      </c>
      <c r="E274" t="s">
        <v>51</v>
      </c>
      <c r="F274">
        <v>8839.3670000000002</v>
      </c>
      <c r="G274">
        <v>1558834.9950000001</v>
      </c>
      <c r="H274" s="10">
        <f>PIB_ACTIVIDADES[[#This Row],[PIB]]/PIB_ACTIVIDADES[[#This Row],[PIB TOTAL]]</f>
        <v>5.6704956126546286E-3</v>
      </c>
    </row>
    <row r="275" spans="1:8" hidden="1" x14ac:dyDescent="0.3">
      <c r="A275" t="s">
        <v>137</v>
      </c>
      <c r="B275" t="s">
        <v>138</v>
      </c>
      <c r="C275" t="s">
        <v>95</v>
      </c>
      <c r="D275" t="s">
        <v>101</v>
      </c>
      <c r="E275" t="s">
        <v>52</v>
      </c>
      <c r="F275">
        <v>9351.6790000000001</v>
      </c>
      <c r="G275">
        <v>1621930.2709999999</v>
      </c>
      <c r="H275" s="10">
        <f>PIB_ACTIVIDADES[[#This Row],[PIB]]/PIB_ACTIVIDADES[[#This Row],[PIB TOTAL]]</f>
        <v>5.7657712956021403E-3</v>
      </c>
    </row>
    <row r="276" spans="1:8" hidden="1" x14ac:dyDescent="0.3">
      <c r="A276" t="s">
        <v>137</v>
      </c>
      <c r="B276" t="s">
        <v>138</v>
      </c>
      <c r="C276" t="s">
        <v>95</v>
      </c>
      <c r="D276" t="s">
        <v>101</v>
      </c>
      <c r="E276" t="s">
        <v>53</v>
      </c>
      <c r="F276">
        <v>8945.1489999999994</v>
      </c>
      <c r="G276">
        <v>1611568.7879999999</v>
      </c>
      <c r="H276" s="10">
        <f>PIB_ACTIVIDADES[[#This Row],[PIB]]/PIB_ACTIVIDADES[[#This Row],[PIB TOTAL]]</f>
        <v>5.5505846642147794E-3</v>
      </c>
    </row>
    <row r="277" spans="1:8" hidden="1" x14ac:dyDescent="0.3">
      <c r="A277" t="s">
        <v>137</v>
      </c>
      <c r="B277" t="s">
        <v>138</v>
      </c>
      <c r="C277" t="s">
        <v>95</v>
      </c>
      <c r="D277" t="s">
        <v>101</v>
      </c>
      <c r="E277" t="s">
        <v>54</v>
      </c>
      <c r="F277">
        <v>9206.5779999999995</v>
      </c>
      <c r="G277">
        <v>1666974.7009999999</v>
      </c>
      <c r="H277" s="10">
        <f>PIB_ACTIVIDADES[[#This Row],[PIB]]/PIB_ACTIVIDADES[[#This Row],[PIB TOTAL]]</f>
        <v>5.5229260494937772E-3</v>
      </c>
    </row>
    <row r="278" spans="1:8" hidden="1" x14ac:dyDescent="0.3">
      <c r="A278" t="s">
        <v>137</v>
      </c>
      <c r="B278" t="s">
        <v>138</v>
      </c>
      <c r="C278" t="s">
        <v>95</v>
      </c>
      <c r="D278" t="s">
        <v>101</v>
      </c>
      <c r="E278" t="s">
        <v>55</v>
      </c>
      <c r="F278">
        <v>9763.24</v>
      </c>
      <c r="G278">
        <v>1728163.9920000001</v>
      </c>
      <c r="H278" s="10">
        <f>PIB_ACTIVIDADES[[#This Row],[PIB]]/PIB_ACTIVIDADES[[#This Row],[PIB TOTAL]]</f>
        <v>5.649486996139195E-3</v>
      </c>
    </row>
    <row r="279" spans="1:8" hidden="1" x14ac:dyDescent="0.3">
      <c r="A279" t="s">
        <v>137</v>
      </c>
      <c r="B279" t="s">
        <v>138</v>
      </c>
      <c r="C279" t="s">
        <v>95</v>
      </c>
      <c r="D279" t="s">
        <v>101</v>
      </c>
      <c r="E279" t="s">
        <v>56</v>
      </c>
      <c r="F279">
        <v>10650.45</v>
      </c>
      <c r="G279">
        <v>1743960.8829999999</v>
      </c>
      <c r="H279" s="10">
        <f>PIB_ACTIVIDADES[[#This Row],[PIB]]/PIB_ACTIVIDADES[[#This Row],[PIB TOTAL]]</f>
        <v>6.1070463814984557E-3</v>
      </c>
    </row>
    <row r="280" spans="1:8" hidden="1" x14ac:dyDescent="0.3">
      <c r="A280" t="s">
        <v>137</v>
      </c>
      <c r="B280" t="s">
        <v>138</v>
      </c>
      <c r="C280" t="s">
        <v>95</v>
      </c>
      <c r="D280" t="s">
        <v>101</v>
      </c>
      <c r="E280" t="s">
        <v>57</v>
      </c>
      <c r="F280">
        <v>11086.448</v>
      </c>
      <c r="G280">
        <v>1809343.5560000001</v>
      </c>
      <c r="H280" s="10">
        <f>PIB_ACTIVIDADES[[#This Row],[PIB]]/PIB_ACTIVIDADES[[#This Row],[PIB TOTAL]]</f>
        <v>6.1273316298809093E-3</v>
      </c>
    </row>
    <row r="281" spans="1:8" hidden="1" x14ac:dyDescent="0.3">
      <c r="A281" t="s">
        <v>137</v>
      </c>
      <c r="B281" t="s">
        <v>138</v>
      </c>
      <c r="C281" t="s">
        <v>95</v>
      </c>
      <c r="D281" t="s">
        <v>101</v>
      </c>
      <c r="E281" t="s">
        <v>58</v>
      </c>
      <c r="F281">
        <v>11416.668</v>
      </c>
      <c r="G281">
        <v>1909026.4350000001</v>
      </c>
      <c r="H281" s="10">
        <f>PIB_ACTIVIDADES[[#This Row],[PIB]]/PIB_ACTIVIDADES[[#This Row],[PIB TOTAL]]</f>
        <v>5.9803613981909056E-3</v>
      </c>
    </row>
    <row r="282" spans="1:8" hidden="1" x14ac:dyDescent="0.3">
      <c r="A282" t="s">
        <v>137</v>
      </c>
      <c r="B282" t="s">
        <v>138</v>
      </c>
      <c r="C282" t="s">
        <v>95</v>
      </c>
      <c r="D282" t="s">
        <v>101</v>
      </c>
      <c r="E282" t="s">
        <v>59</v>
      </c>
      <c r="F282">
        <v>11902.276</v>
      </c>
      <c r="G282">
        <v>1918825.0060000001</v>
      </c>
      <c r="H282" s="10">
        <f>PIB_ACTIVIDADES[[#This Row],[PIB]]/PIB_ACTIVIDADES[[#This Row],[PIB TOTAL]]</f>
        <v>6.2028981083645518E-3</v>
      </c>
    </row>
    <row r="283" spans="1:8" hidden="1" x14ac:dyDescent="0.3">
      <c r="A283" t="s">
        <v>137</v>
      </c>
      <c r="B283" t="s">
        <v>138</v>
      </c>
      <c r="C283" t="s">
        <v>95</v>
      </c>
      <c r="D283" t="s">
        <v>101</v>
      </c>
      <c r="E283" t="s">
        <v>60</v>
      </c>
      <c r="F283">
        <v>11776.428</v>
      </c>
      <c r="G283">
        <v>1743165.6229999999</v>
      </c>
      <c r="H283" s="10">
        <f>PIB_ACTIVIDADES[[#This Row],[PIB]]/PIB_ACTIVIDADES[[#This Row],[PIB TOTAL]]</f>
        <v>6.7557711353512621E-3</v>
      </c>
    </row>
    <row r="284" spans="1:8" hidden="1" x14ac:dyDescent="0.3">
      <c r="A284" t="s">
        <v>137</v>
      </c>
      <c r="B284" t="s">
        <v>138</v>
      </c>
      <c r="C284" t="s">
        <v>95</v>
      </c>
      <c r="D284" t="s">
        <v>101</v>
      </c>
      <c r="E284" t="s">
        <v>61</v>
      </c>
      <c r="F284">
        <v>13273.509</v>
      </c>
      <c r="G284">
        <v>1865875.274</v>
      </c>
      <c r="H284" s="10">
        <f>PIB_ACTIVIDADES[[#This Row],[PIB]]/PIB_ACTIVIDADES[[#This Row],[PIB TOTAL]]</f>
        <v>7.1138243723787081E-3</v>
      </c>
    </row>
    <row r="285" spans="1:8" hidden="1" x14ac:dyDescent="0.3">
      <c r="A285" t="s">
        <v>137</v>
      </c>
      <c r="B285" t="s">
        <v>138</v>
      </c>
      <c r="C285" t="s">
        <v>95</v>
      </c>
      <c r="D285" t="s">
        <v>101</v>
      </c>
      <c r="E285" t="s">
        <v>62</v>
      </c>
      <c r="F285">
        <v>14738.808000000001</v>
      </c>
      <c r="G285">
        <v>1928658.429</v>
      </c>
      <c r="H285" s="10">
        <f>PIB_ACTIVIDADES[[#This Row],[PIB]]/PIB_ACTIVIDADES[[#This Row],[PIB TOTAL]]</f>
        <v>7.6420001480728764E-3</v>
      </c>
    </row>
    <row r="286" spans="1:8" hidden="1" x14ac:dyDescent="0.3">
      <c r="A286" t="s">
        <v>137</v>
      </c>
      <c r="B286" t="s">
        <v>138</v>
      </c>
      <c r="C286" t="s">
        <v>95</v>
      </c>
      <c r="D286" t="s">
        <v>101</v>
      </c>
      <c r="E286" t="s">
        <v>63</v>
      </c>
      <c r="F286">
        <v>14733.993</v>
      </c>
      <c r="G286">
        <v>1991519.7</v>
      </c>
      <c r="H286" s="10">
        <f>PIB_ACTIVIDADES[[#This Row],[PIB]]/PIB_ACTIVIDADES[[#This Row],[PIB TOTAL]]</f>
        <v>7.3983666844972713E-3</v>
      </c>
    </row>
    <row r="287" spans="1:8" hidden="1" x14ac:dyDescent="0.3">
      <c r="A287" t="s">
        <v>137</v>
      </c>
      <c r="B287" t="s">
        <v>138</v>
      </c>
      <c r="C287" t="s">
        <v>95</v>
      </c>
      <c r="D287" t="s">
        <v>101</v>
      </c>
      <c r="E287" t="s">
        <v>64</v>
      </c>
      <c r="F287">
        <v>15329.698</v>
      </c>
      <c r="G287">
        <v>2059995.5649999999</v>
      </c>
      <c r="H287" s="10">
        <f>PIB_ACTIVIDADES[[#This Row],[PIB]]/PIB_ACTIVIDADES[[#This Row],[PIB TOTAL]]</f>
        <v>7.4416169920249325E-3</v>
      </c>
    </row>
    <row r="288" spans="1:8" hidden="1" x14ac:dyDescent="0.3">
      <c r="A288" t="s">
        <v>139</v>
      </c>
      <c r="B288" t="s">
        <v>140</v>
      </c>
      <c r="C288" t="s">
        <v>95</v>
      </c>
      <c r="D288" t="s">
        <v>101</v>
      </c>
      <c r="E288" t="s">
        <v>43</v>
      </c>
      <c r="F288">
        <v>41236.811000000002</v>
      </c>
      <c r="G288">
        <v>1289662.122</v>
      </c>
      <c r="H288" s="10">
        <f>PIB_ACTIVIDADES[[#This Row],[PIB]]/PIB_ACTIVIDADES[[#This Row],[PIB TOTAL]]</f>
        <v>3.1974895049294162E-2</v>
      </c>
    </row>
    <row r="289" spans="1:8" hidden="1" x14ac:dyDescent="0.3">
      <c r="A289" t="s">
        <v>139</v>
      </c>
      <c r="B289" t="s">
        <v>140</v>
      </c>
      <c r="C289" t="s">
        <v>95</v>
      </c>
      <c r="D289" t="s">
        <v>101</v>
      </c>
      <c r="E289" t="s">
        <v>44</v>
      </c>
      <c r="F289">
        <v>42193.008999999998</v>
      </c>
      <c r="G289">
        <v>1335507.8389999999</v>
      </c>
      <c r="H289" s="10">
        <f>PIB_ACTIVIDADES[[#This Row],[PIB]]/PIB_ACTIVIDADES[[#This Row],[PIB TOTAL]]</f>
        <v>3.1593232003485079E-2</v>
      </c>
    </row>
    <row r="290" spans="1:8" hidden="1" x14ac:dyDescent="0.3">
      <c r="A290" t="s">
        <v>139</v>
      </c>
      <c r="B290" t="s">
        <v>140</v>
      </c>
      <c r="C290" t="s">
        <v>95</v>
      </c>
      <c r="D290" t="s">
        <v>101</v>
      </c>
      <c r="E290" t="s">
        <v>45</v>
      </c>
      <c r="F290">
        <v>43344.072999999997</v>
      </c>
      <c r="G290">
        <v>1368861.9909999999</v>
      </c>
      <c r="H290" s="10">
        <f>PIB_ACTIVIDADES[[#This Row],[PIB]]/PIB_ACTIVIDADES[[#This Row],[PIB TOTAL]]</f>
        <v>3.1664311877295744E-2</v>
      </c>
    </row>
    <row r="291" spans="1:8" hidden="1" x14ac:dyDescent="0.3">
      <c r="A291" t="s">
        <v>139</v>
      </c>
      <c r="B291" t="s">
        <v>140</v>
      </c>
      <c r="C291" t="s">
        <v>95</v>
      </c>
      <c r="D291" t="s">
        <v>101</v>
      </c>
      <c r="E291" t="s">
        <v>46</v>
      </c>
      <c r="F291">
        <v>52557.440999999999</v>
      </c>
      <c r="G291">
        <v>1469583.898</v>
      </c>
      <c r="H291" s="10">
        <f>PIB_ACTIVIDADES[[#This Row],[PIB]]/PIB_ACTIVIDADES[[#This Row],[PIB TOTAL]]</f>
        <v>3.5763484528870362E-2</v>
      </c>
    </row>
    <row r="292" spans="1:8" hidden="1" x14ac:dyDescent="0.3">
      <c r="A292" t="s">
        <v>139</v>
      </c>
      <c r="B292" t="s">
        <v>140</v>
      </c>
      <c r="C292" t="s">
        <v>95</v>
      </c>
      <c r="D292" t="s">
        <v>101</v>
      </c>
      <c r="E292" t="s">
        <v>47</v>
      </c>
      <c r="F292">
        <v>59128.915000000001</v>
      </c>
      <c r="G292">
        <v>1532409.5149999999</v>
      </c>
      <c r="H292" s="10">
        <f>PIB_ACTIVIDADES[[#This Row],[PIB]]/PIB_ACTIVIDADES[[#This Row],[PIB TOTAL]]</f>
        <v>3.8585583306039443E-2</v>
      </c>
    </row>
    <row r="293" spans="1:8" hidden="1" x14ac:dyDescent="0.3">
      <c r="A293" t="s">
        <v>139</v>
      </c>
      <c r="B293" t="s">
        <v>140</v>
      </c>
      <c r="C293" t="s">
        <v>95</v>
      </c>
      <c r="D293" t="s">
        <v>101</v>
      </c>
      <c r="E293" t="s">
        <v>48</v>
      </c>
      <c r="F293">
        <v>58763.584000000003</v>
      </c>
      <c r="G293">
        <v>1531655.04</v>
      </c>
      <c r="H293" s="10">
        <f>PIB_ACTIVIDADES[[#This Row],[PIB]]/PIB_ACTIVIDADES[[#This Row],[PIB TOTAL]]</f>
        <v>3.8366069686291762E-2</v>
      </c>
    </row>
    <row r="294" spans="1:8" hidden="1" x14ac:dyDescent="0.3">
      <c r="A294" t="s">
        <v>139</v>
      </c>
      <c r="B294" t="s">
        <v>140</v>
      </c>
      <c r="C294" t="s">
        <v>95</v>
      </c>
      <c r="D294" t="s">
        <v>101</v>
      </c>
      <c r="E294" t="s">
        <v>49</v>
      </c>
      <c r="F294">
        <v>55890.131000000001</v>
      </c>
      <c r="G294">
        <v>1411038.652</v>
      </c>
      <c r="H294" s="10">
        <f>PIB_ACTIVIDADES[[#This Row],[PIB]]/PIB_ACTIVIDADES[[#This Row],[PIB TOTAL]]</f>
        <v>3.9609213341379117E-2</v>
      </c>
    </row>
    <row r="295" spans="1:8" hidden="1" x14ac:dyDescent="0.3">
      <c r="A295" t="s">
        <v>139</v>
      </c>
      <c r="B295" t="s">
        <v>140</v>
      </c>
      <c r="C295" t="s">
        <v>95</v>
      </c>
      <c r="D295" t="s">
        <v>101</v>
      </c>
      <c r="E295" t="s">
        <v>50</v>
      </c>
      <c r="F295">
        <v>58130.400000000001</v>
      </c>
      <c r="G295">
        <v>1509564.2709999999</v>
      </c>
      <c r="H295" s="10">
        <f>PIB_ACTIVIDADES[[#This Row],[PIB]]/PIB_ACTIVIDADES[[#This Row],[PIB TOTAL]]</f>
        <v>3.8508065616505313E-2</v>
      </c>
    </row>
    <row r="296" spans="1:8" hidden="1" x14ac:dyDescent="0.3">
      <c r="A296" t="s">
        <v>139</v>
      </c>
      <c r="B296" t="s">
        <v>140</v>
      </c>
      <c r="C296" t="s">
        <v>95</v>
      </c>
      <c r="D296" t="s">
        <v>101</v>
      </c>
      <c r="E296" t="s">
        <v>51</v>
      </c>
      <c r="F296">
        <v>62186.758000000002</v>
      </c>
      <c r="G296">
        <v>1558834.9950000001</v>
      </c>
      <c r="H296" s="10">
        <f>PIB_ACTIVIDADES[[#This Row],[PIB]]/PIB_ACTIVIDADES[[#This Row],[PIB TOTAL]]</f>
        <v>3.9893098499498333E-2</v>
      </c>
    </row>
    <row r="297" spans="1:8" hidden="1" x14ac:dyDescent="0.3">
      <c r="A297" t="s">
        <v>139</v>
      </c>
      <c r="B297" t="s">
        <v>140</v>
      </c>
      <c r="C297" t="s">
        <v>95</v>
      </c>
      <c r="D297" t="s">
        <v>101</v>
      </c>
      <c r="E297" t="s">
        <v>52</v>
      </c>
      <c r="F297">
        <v>63276.81</v>
      </c>
      <c r="G297">
        <v>1621930.2709999999</v>
      </c>
      <c r="H297" s="10">
        <f>PIB_ACTIVIDADES[[#This Row],[PIB]]/PIB_ACTIVIDADES[[#This Row],[PIB TOTAL]]</f>
        <v>3.9013273955967744E-2</v>
      </c>
    </row>
    <row r="298" spans="1:8" hidden="1" x14ac:dyDescent="0.3">
      <c r="A298" t="s">
        <v>139</v>
      </c>
      <c r="B298" t="s">
        <v>140</v>
      </c>
      <c r="C298" t="s">
        <v>95</v>
      </c>
      <c r="D298" t="s">
        <v>101</v>
      </c>
      <c r="E298" t="s">
        <v>53</v>
      </c>
      <c r="F298">
        <v>65670.816999999995</v>
      </c>
      <c r="G298">
        <v>1611568.7879999999</v>
      </c>
      <c r="H298" s="10">
        <f>PIB_ACTIVIDADES[[#This Row],[PIB]]/PIB_ACTIVIDADES[[#This Row],[PIB TOTAL]]</f>
        <v>4.074962079744622E-2</v>
      </c>
    </row>
    <row r="299" spans="1:8" hidden="1" x14ac:dyDescent="0.3">
      <c r="A299" t="s">
        <v>139</v>
      </c>
      <c r="B299" t="s">
        <v>140</v>
      </c>
      <c r="C299" t="s">
        <v>95</v>
      </c>
      <c r="D299" t="s">
        <v>101</v>
      </c>
      <c r="E299" t="s">
        <v>54</v>
      </c>
      <c r="F299">
        <v>65321.271000000001</v>
      </c>
      <c r="G299">
        <v>1666974.7009999999</v>
      </c>
      <c r="H299" s="10">
        <f>PIB_ACTIVIDADES[[#This Row],[PIB]]/PIB_ACTIVIDADES[[#This Row],[PIB TOTAL]]</f>
        <v>3.9185520308625252E-2</v>
      </c>
    </row>
    <row r="300" spans="1:8" hidden="1" x14ac:dyDescent="0.3">
      <c r="A300" t="s">
        <v>139</v>
      </c>
      <c r="B300" t="s">
        <v>140</v>
      </c>
      <c r="C300" t="s">
        <v>95</v>
      </c>
      <c r="D300" t="s">
        <v>101</v>
      </c>
      <c r="E300" t="s">
        <v>55</v>
      </c>
      <c r="F300">
        <v>65308.237999999998</v>
      </c>
      <c r="G300">
        <v>1728163.9920000001</v>
      </c>
      <c r="H300" s="10">
        <f>PIB_ACTIVIDADES[[#This Row],[PIB]]/PIB_ACTIVIDADES[[#This Row],[PIB TOTAL]]</f>
        <v>3.7790532786427827E-2</v>
      </c>
    </row>
    <row r="301" spans="1:8" hidden="1" x14ac:dyDescent="0.3">
      <c r="A301" t="s">
        <v>139</v>
      </c>
      <c r="B301" t="s">
        <v>140</v>
      </c>
      <c r="C301" t="s">
        <v>95</v>
      </c>
      <c r="D301" t="s">
        <v>101</v>
      </c>
      <c r="E301" t="s">
        <v>56</v>
      </c>
      <c r="F301">
        <v>67769.808999999994</v>
      </c>
      <c r="G301">
        <v>1743960.8829999999</v>
      </c>
      <c r="H301" s="10">
        <f>PIB_ACTIVIDADES[[#This Row],[PIB]]/PIB_ACTIVIDADES[[#This Row],[PIB TOTAL]]</f>
        <v>3.88597070385093E-2</v>
      </c>
    </row>
    <row r="302" spans="1:8" hidden="1" x14ac:dyDescent="0.3">
      <c r="A302" t="s">
        <v>139</v>
      </c>
      <c r="B302" t="s">
        <v>140</v>
      </c>
      <c r="C302" t="s">
        <v>95</v>
      </c>
      <c r="D302" t="s">
        <v>101</v>
      </c>
      <c r="E302" t="s">
        <v>57</v>
      </c>
      <c r="F302">
        <v>72995.088000000003</v>
      </c>
      <c r="G302">
        <v>1809343.5560000001</v>
      </c>
      <c r="H302" s="10">
        <f>PIB_ACTIVIDADES[[#This Row],[PIB]]/PIB_ACTIVIDADES[[#This Row],[PIB TOTAL]]</f>
        <v>4.0343409496742366E-2</v>
      </c>
    </row>
    <row r="303" spans="1:8" hidden="1" x14ac:dyDescent="0.3">
      <c r="A303" t="s">
        <v>139</v>
      </c>
      <c r="B303" t="s">
        <v>140</v>
      </c>
      <c r="C303" t="s">
        <v>95</v>
      </c>
      <c r="D303" t="s">
        <v>101</v>
      </c>
      <c r="E303" t="s">
        <v>58</v>
      </c>
      <c r="F303">
        <v>77931.232999999993</v>
      </c>
      <c r="G303">
        <v>1909026.4350000001</v>
      </c>
      <c r="H303" s="10">
        <f>PIB_ACTIVIDADES[[#This Row],[PIB]]/PIB_ACTIVIDADES[[#This Row],[PIB TOTAL]]</f>
        <v>4.0822500710944835E-2</v>
      </c>
    </row>
    <row r="304" spans="1:8" hidden="1" x14ac:dyDescent="0.3">
      <c r="A304" t="s">
        <v>139</v>
      </c>
      <c r="B304" t="s">
        <v>140</v>
      </c>
      <c r="C304" t="s">
        <v>95</v>
      </c>
      <c r="D304" t="s">
        <v>101</v>
      </c>
      <c r="E304" t="s">
        <v>59</v>
      </c>
      <c r="F304">
        <v>80068.096000000005</v>
      </c>
      <c r="G304">
        <v>1918825.0060000001</v>
      </c>
      <c r="H304" s="10">
        <f>PIB_ACTIVIDADES[[#This Row],[PIB]]/PIB_ACTIVIDADES[[#This Row],[PIB TOTAL]]</f>
        <v>4.1727669667444393E-2</v>
      </c>
    </row>
    <row r="305" spans="1:8" hidden="1" x14ac:dyDescent="0.3">
      <c r="A305" t="s">
        <v>139</v>
      </c>
      <c r="B305" t="s">
        <v>140</v>
      </c>
      <c r="C305" t="s">
        <v>95</v>
      </c>
      <c r="D305" t="s">
        <v>101</v>
      </c>
      <c r="E305" t="s">
        <v>60</v>
      </c>
      <c r="F305">
        <v>77433.097999999998</v>
      </c>
      <c r="G305">
        <v>1743165.6229999999</v>
      </c>
      <c r="H305" s="10">
        <f>PIB_ACTIVIDADES[[#This Row],[PIB]]/PIB_ACTIVIDADES[[#This Row],[PIB TOTAL]]</f>
        <v>4.4420964352622508E-2</v>
      </c>
    </row>
    <row r="306" spans="1:8" hidden="1" x14ac:dyDescent="0.3">
      <c r="A306" t="s">
        <v>139</v>
      </c>
      <c r="B306" t="s">
        <v>140</v>
      </c>
      <c r="C306" t="s">
        <v>95</v>
      </c>
      <c r="D306" t="s">
        <v>101</v>
      </c>
      <c r="E306" t="s">
        <v>61</v>
      </c>
      <c r="F306">
        <v>56726.343000000001</v>
      </c>
      <c r="G306">
        <v>1865875.274</v>
      </c>
      <c r="H306" s="10">
        <f>PIB_ACTIVIDADES[[#This Row],[PIB]]/PIB_ACTIVIDADES[[#This Row],[PIB TOTAL]]</f>
        <v>3.0402001564869871E-2</v>
      </c>
    </row>
    <row r="307" spans="1:8" hidden="1" x14ac:dyDescent="0.3">
      <c r="A307" t="s">
        <v>139</v>
      </c>
      <c r="B307" t="s">
        <v>140</v>
      </c>
      <c r="C307" t="s">
        <v>95</v>
      </c>
      <c r="D307" t="s">
        <v>101</v>
      </c>
      <c r="E307" t="s">
        <v>62</v>
      </c>
      <c r="F307">
        <v>17686.526000000002</v>
      </c>
      <c r="G307">
        <v>1928658.429</v>
      </c>
      <c r="H307" s="10">
        <f>PIB_ACTIVIDADES[[#This Row],[PIB]]/PIB_ACTIVIDADES[[#This Row],[PIB TOTAL]]</f>
        <v>9.1703775712998481E-3</v>
      </c>
    </row>
    <row r="308" spans="1:8" hidden="1" x14ac:dyDescent="0.3">
      <c r="A308" t="s">
        <v>139</v>
      </c>
      <c r="B308" t="s">
        <v>140</v>
      </c>
      <c r="C308" t="s">
        <v>95</v>
      </c>
      <c r="D308" t="s">
        <v>101</v>
      </c>
      <c r="E308" t="s">
        <v>63</v>
      </c>
      <c r="F308">
        <v>16304.484</v>
      </c>
      <c r="G308">
        <v>1991519.7</v>
      </c>
      <c r="H308" s="10">
        <f>PIB_ACTIVIDADES[[#This Row],[PIB]]/PIB_ACTIVIDADES[[#This Row],[PIB TOTAL]]</f>
        <v>8.1869559211490608E-3</v>
      </c>
    </row>
    <row r="309" spans="1:8" hidden="1" x14ac:dyDescent="0.3">
      <c r="A309" t="s">
        <v>139</v>
      </c>
      <c r="B309" t="s">
        <v>140</v>
      </c>
      <c r="C309" t="s">
        <v>95</v>
      </c>
      <c r="D309" t="s">
        <v>101</v>
      </c>
      <c r="E309" t="s">
        <v>64</v>
      </c>
      <c r="F309">
        <v>15370.741</v>
      </c>
      <c r="G309">
        <v>2059995.5649999999</v>
      </c>
      <c r="H309" s="10">
        <f>PIB_ACTIVIDADES[[#This Row],[PIB]]/PIB_ACTIVIDADES[[#This Row],[PIB TOTAL]]</f>
        <v>7.4615408213269622E-3</v>
      </c>
    </row>
    <row r="310" spans="1:8" hidden="1" x14ac:dyDescent="0.3">
      <c r="A310" t="s">
        <v>141</v>
      </c>
      <c r="B310" t="s">
        <v>142</v>
      </c>
      <c r="C310" t="s">
        <v>95</v>
      </c>
      <c r="D310" t="s">
        <v>103</v>
      </c>
      <c r="E310" t="s">
        <v>43</v>
      </c>
      <c r="F310">
        <v>50805.66</v>
      </c>
      <c r="G310">
        <v>1289662.122</v>
      </c>
      <c r="H310" s="10">
        <f>PIB_ACTIVIDADES[[#This Row],[PIB]]/PIB_ACTIVIDADES[[#This Row],[PIB TOTAL]]</f>
        <v>3.9394550815535237E-2</v>
      </c>
    </row>
    <row r="311" spans="1:8" hidden="1" x14ac:dyDescent="0.3">
      <c r="A311" t="s">
        <v>141</v>
      </c>
      <c r="B311" t="s">
        <v>142</v>
      </c>
      <c r="C311" t="s">
        <v>95</v>
      </c>
      <c r="D311" t="s">
        <v>103</v>
      </c>
      <c r="E311" t="s">
        <v>44</v>
      </c>
      <c r="F311">
        <v>51434.637000000002</v>
      </c>
      <c r="G311">
        <v>1335507.8389999999</v>
      </c>
      <c r="H311" s="10">
        <f>PIB_ACTIVIDADES[[#This Row],[PIB]]/PIB_ACTIVIDADES[[#This Row],[PIB TOTAL]]</f>
        <v>3.8513167424395783E-2</v>
      </c>
    </row>
    <row r="312" spans="1:8" hidden="1" x14ac:dyDescent="0.3">
      <c r="A312" t="s">
        <v>141</v>
      </c>
      <c r="B312" t="s">
        <v>142</v>
      </c>
      <c r="C312" t="s">
        <v>95</v>
      </c>
      <c r="D312" t="s">
        <v>103</v>
      </c>
      <c r="E312" t="s">
        <v>45</v>
      </c>
      <c r="F312">
        <v>51906.659</v>
      </c>
      <c r="G312">
        <v>1368861.9909999999</v>
      </c>
      <c r="H312" s="10">
        <f>PIB_ACTIVIDADES[[#This Row],[PIB]]/PIB_ACTIVIDADES[[#This Row],[PIB TOTAL]]</f>
        <v>3.7919570666200199E-2</v>
      </c>
    </row>
    <row r="313" spans="1:8" hidden="1" x14ac:dyDescent="0.3">
      <c r="A313" t="s">
        <v>141</v>
      </c>
      <c r="B313" t="s">
        <v>142</v>
      </c>
      <c r="C313" t="s">
        <v>95</v>
      </c>
      <c r="D313" t="s">
        <v>103</v>
      </c>
      <c r="E313" t="s">
        <v>46</v>
      </c>
      <c r="F313">
        <v>51635.745999999999</v>
      </c>
      <c r="G313">
        <v>1469583.898</v>
      </c>
      <c r="H313" s="10">
        <f>PIB_ACTIVIDADES[[#This Row],[PIB]]/PIB_ACTIVIDADES[[#This Row],[PIB TOTAL]]</f>
        <v>3.5136303596053686E-2</v>
      </c>
    </row>
    <row r="314" spans="1:8" hidden="1" x14ac:dyDescent="0.3">
      <c r="A314" t="s">
        <v>141</v>
      </c>
      <c r="B314" t="s">
        <v>142</v>
      </c>
      <c r="C314" t="s">
        <v>95</v>
      </c>
      <c r="D314" t="s">
        <v>103</v>
      </c>
      <c r="E314" t="s">
        <v>47</v>
      </c>
      <c r="F314">
        <v>52454.326000000001</v>
      </c>
      <c r="G314">
        <v>1532409.5149999999</v>
      </c>
      <c r="H314" s="10">
        <f>PIB_ACTIVIDADES[[#This Row],[PIB]]/PIB_ACTIVIDADES[[#This Row],[PIB TOTAL]]</f>
        <v>3.4229966263293533E-2</v>
      </c>
    </row>
    <row r="315" spans="1:8" hidden="1" x14ac:dyDescent="0.3">
      <c r="A315" t="s">
        <v>141</v>
      </c>
      <c r="B315" t="s">
        <v>142</v>
      </c>
      <c r="C315" t="s">
        <v>95</v>
      </c>
      <c r="D315" t="s">
        <v>103</v>
      </c>
      <c r="E315" t="s">
        <v>48</v>
      </c>
      <c r="F315">
        <v>54446.684000000001</v>
      </c>
      <c r="G315">
        <v>1531655.04</v>
      </c>
      <c r="H315" s="10">
        <f>PIB_ACTIVIDADES[[#This Row],[PIB]]/PIB_ACTIVIDADES[[#This Row],[PIB TOTAL]]</f>
        <v>3.5547615212365311E-2</v>
      </c>
    </row>
    <row r="316" spans="1:8" hidden="1" x14ac:dyDescent="0.3">
      <c r="A316" t="s">
        <v>141</v>
      </c>
      <c r="B316" t="s">
        <v>142</v>
      </c>
      <c r="C316" t="s">
        <v>95</v>
      </c>
      <c r="D316" t="s">
        <v>103</v>
      </c>
      <c r="E316" t="s">
        <v>49</v>
      </c>
      <c r="F316">
        <v>53794.351999999999</v>
      </c>
      <c r="G316">
        <v>1411038.652</v>
      </c>
      <c r="H316" s="10">
        <f>PIB_ACTIVIDADES[[#This Row],[PIB]]/PIB_ACTIVIDADES[[#This Row],[PIB TOTAL]]</f>
        <v>3.8123939357544968E-2</v>
      </c>
    </row>
    <row r="317" spans="1:8" hidden="1" x14ac:dyDescent="0.3">
      <c r="A317" t="s">
        <v>141</v>
      </c>
      <c r="B317" t="s">
        <v>142</v>
      </c>
      <c r="C317" t="s">
        <v>95</v>
      </c>
      <c r="D317" t="s">
        <v>103</v>
      </c>
      <c r="E317" t="s">
        <v>50</v>
      </c>
      <c r="F317">
        <v>54287.925000000003</v>
      </c>
      <c r="G317">
        <v>1509564.2709999999</v>
      </c>
      <c r="H317" s="10">
        <f>PIB_ACTIVIDADES[[#This Row],[PIB]]/PIB_ACTIVIDADES[[#This Row],[PIB TOTAL]]</f>
        <v>3.5962645673931697E-2</v>
      </c>
    </row>
    <row r="318" spans="1:8" hidden="1" x14ac:dyDescent="0.3">
      <c r="A318" t="s">
        <v>141</v>
      </c>
      <c r="B318" t="s">
        <v>142</v>
      </c>
      <c r="C318" t="s">
        <v>95</v>
      </c>
      <c r="D318" t="s">
        <v>103</v>
      </c>
      <c r="E318" t="s">
        <v>51</v>
      </c>
      <c r="F318">
        <v>54235.603999999999</v>
      </c>
      <c r="G318">
        <v>1558834.9950000001</v>
      </c>
      <c r="H318" s="10">
        <f>PIB_ACTIVIDADES[[#This Row],[PIB]]/PIB_ACTIVIDADES[[#This Row],[PIB TOTAL]]</f>
        <v>3.4792395714724117E-2</v>
      </c>
    </row>
    <row r="319" spans="1:8" hidden="1" x14ac:dyDescent="0.3">
      <c r="A319" t="s">
        <v>141</v>
      </c>
      <c r="B319" t="s">
        <v>142</v>
      </c>
      <c r="C319" t="s">
        <v>95</v>
      </c>
      <c r="D319" t="s">
        <v>103</v>
      </c>
      <c r="E319" t="s">
        <v>52</v>
      </c>
      <c r="F319">
        <v>57551.356</v>
      </c>
      <c r="G319">
        <v>1621930.2709999999</v>
      </c>
      <c r="H319" s="10">
        <f>PIB_ACTIVIDADES[[#This Row],[PIB]]/PIB_ACTIVIDADES[[#This Row],[PIB TOTAL]]</f>
        <v>3.5483249205600406E-2</v>
      </c>
    </row>
    <row r="320" spans="1:8" hidden="1" x14ac:dyDescent="0.3">
      <c r="A320" t="s">
        <v>141</v>
      </c>
      <c r="B320" t="s">
        <v>142</v>
      </c>
      <c r="C320" t="s">
        <v>95</v>
      </c>
      <c r="D320" t="s">
        <v>103</v>
      </c>
      <c r="E320" t="s">
        <v>53</v>
      </c>
      <c r="F320">
        <v>55787.97</v>
      </c>
      <c r="G320">
        <v>1611568.7879999999</v>
      </c>
      <c r="H320" s="10">
        <f>PIB_ACTIVIDADES[[#This Row],[PIB]]/PIB_ACTIVIDADES[[#This Row],[PIB TOTAL]]</f>
        <v>3.4617181975356057E-2</v>
      </c>
    </row>
    <row r="321" spans="1:8" hidden="1" x14ac:dyDescent="0.3">
      <c r="A321" t="s">
        <v>141</v>
      </c>
      <c r="B321" t="s">
        <v>142</v>
      </c>
      <c r="C321" t="s">
        <v>95</v>
      </c>
      <c r="D321" t="s">
        <v>103</v>
      </c>
      <c r="E321" t="s">
        <v>54</v>
      </c>
      <c r="F321">
        <v>53838.141000000003</v>
      </c>
      <c r="G321">
        <v>1666974.7009999999</v>
      </c>
      <c r="H321" s="10">
        <f>PIB_ACTIVIDADES[[#This Row],[PIB]]/PIB_ACTIVIDADES[[#This Row],[PIB TOTAL]]</f>
        <v>3.2296915464705665E-2</v>
      </c>
    </row>
    <row r="322" spans="1:8" hidden="1" x14ac:dyDescent="0.3">
      <c r="A322" t="s">
        <v>141</v>
      </c>
      <c r="B322" t="s">
        <v>142</v>
      </c>
      <c r="C322" t="s">
        <v>95</v>
      </c>
      <c r="D322" t="s">
        <v>103</v>
      </c>
      <c r="E322" t="s">
        <v>55</v>
      </c>
      <c r="F322">
        <v>54870.262999999999</v>
      </c>
      <c r="G322">
        <v>1728163.9920000001</v>
      </c>
      <c r="H322" s="10">
        <f>PIB_ACTIVIDADES[[#This Row],[PIB]]/PIB_ACTIVIDADES[[#This Row],[PIB TOTAL]]</f>
        <v>3.1750611200097263E-2</v>
      </c>
    </row>
    <row r="323" spans="1:8" hidden="1" x14ac:dyDescent="0.3">
      <c r="A323" t="s">
        <v>141</v>
      </c>
      <c r="B323" t="s">
        <v>142</v>
      </c>
      <c r="C323" t="s">
        <v>95</v>
      </c>
      <c r="D323" t="s">
        <v>103</v>
      </c>
      <c r="E323" t="s">
        <v>56</v>
      </c>
      <c r="F323">
        <v>53699.512999999999</v>
      </c>
      <c r="G323">
        <v>1743960.8829999999</v>
      </c>
      <c r="H323" s="10">
        <f>PIB_ACTIVIDADES[[#This Row],[PIB]]/PIB_ACTIVIDADES[[#This Row],[PIB TOTAL]]</f>
        <v>3.0791695802043974E-2</v>
      </c>
    </row>
    <row r="324" spans="1:8" hidden="1" x14ac:dyDescent="0.3">
      <c r="A324" t="s">
        <v>141</v>
      </c>
      <c r="B324" t="s">
        <v>142</v>
      </c>
      <c r="C324" t="s">
        <v>95</v>
      </c>
      <c r="D324" t="s">
        <v>103</v>
      </c>
      <c r="E324" t="s">
        <v>57</v>
      </c>
      <c r="F324">
        <v>55081.404999999999</v>
      </c>
      <c r="G324">
        <v>1809343.5560000001</v>
      </c>
      <c r="H324" s="10">
        <f>PIB_ACTIVIDADES[[#This Row],[PIB]]/PIB_ACTIVIDADES[[#This Row],[PIB TOTAL]]</f>
        <v>3.0442756334109936E-2</v>
      </c>
    </row>
    <row r="325" spans="1:8" hidden="1" x14ac:dyDescent="0.3">
      <c r="A325" t="s">
        <v>141</v>
      </c>
      <c r="B325" t="s">
        <v>142</v>
      </c>
      <c r="C325" t="s">
        <v>95</v>
      </c>
      <c r="D325" t="s">
        <v>103</v>
      </c>
      <c r="E325" t="s">
        <v>58</v>
      </c>
      <c r="F325">
        <v>55695.883000000002</v>
      </c>
      <c r="G325">
        <v>1909026.4350000001</v>
      </c>
      <c r="H325" s="10">
        <f>PIB_ACTIVIDADES[[#This Row],[PIB]]/PIB_ACTIVIDADES[[#This Row],[PIB TOTAL]]</f>
        <v>2.9175019255299101E-2</v>
      </c>
    </row>
    <row r="326" spans="1:8" hidden="1" x14ac:dyDescent="0.3">
      <c r="A326" t="s">
        <v>141</v>
      </c>
      <c r="B326" t="s">
        <v>142</v>
      </c>
      <c r="C326" t="s">
        <v>95</v>
      </c>
      <c r="D326" t="s">
        <v>103</v>
      </c>
      <c r="E326" t="s">
        <v>59</v>
      </c>
      <c r="F326">
        <v>56310.22</v>
      </c>
      <c r="G326">
        <v>1918825.0060000001</v>
      </c>
      <c r="H326" s="10">
        <f>PIB_ACTIVIDADES[[#This Row],[PIB]]/PIB_ACTIVIDADES[[#This Row],[PIB TOTAL]]</f>
        <v>2.9346198753884698E-2</v>
      </c>
    </row>
    <row r="327" spans="1:8" hidden="1" x14ac:dyDescent="0.3">
      <c r="A327" t="s">
        <v>141</v>
      </c>
      <c r="B327" t="s">
        <v>142</v>
      </c>
      <c r="C327" t="s">
        <v>95</v>
      </c>
      <c r="D327" t="s">
        <v>103</v>
      </c>
      <c r="E327" t="s">
        <v>60</v>
      </c>
      <c r="F327">
        <v>52413.637000000002</v>
      </c>
      <c r="G327">
        <v>1743165.6229999999</v>
      </c>
      <c r="H327" s="10">
        <f>PIB_ACTIVIDADES[[#This Row],[PIB]]/PIB_ACTIVIDADES[[#This Row],[PIB TOTAL]]</f>
        <v>3.0068076325298211E-2</v>
      </c>
    </row>
    <row r="328" spans="1:8" hidden="1" x14ac:dyDescent="0.3">
      <c r="A328" t="s">
        <v>141</v>
      </c>
      <c r="B328" t="s">
        <v>142</v>
      </c>
      <c r="C328" t="s">
        <v>95</v>
      </c>
      <c r="D328" t="s">
        <v>103</v>
      </c>
      <c r="E328" t="s">
        <v>61</v>
      </c>
      <c r="F328">
        <v>53532.423000000003</v>
      </c>
      <c r="G328">
        <v>1865875.274</v>
      </c>
      <c r="H328" s="10">
        <f>PIB_ACTIVIDADES[[#This Row],[PIB]]/PIB_ACTIVIDADES[[#This Row],[PIB TOTAL]]</f>
        <v>2.8690247277482279E-2</v>
      </c>
    </row>
    <row r="329" spans="1:8" hidden="1" x14ac:dyDescent="0.3">
      <c r="A329" t="s">
        <v>141</v>
      </c>
      <c r="B329" t="s">
        <v>142</v>
      </c>
      <c r="C329" t="s">
        <v>95</v>
      </c>
      <c r="D329" t="s">
        <v>103</v>
      </c>
      <c r="E329" t="s">
        <v>62</v>
      </c>
      <c r="F329">
        <v>56335.686000000002</v>
      </c>
      <c r="G329">
        <v>1928658.429</v>
      </c>
      <c r="H329" s="10">
        <f>PIB_ACTIVIDADES[[#This Row],[PIB]]/PIB_ACTIVIDADES[[#This Row],[PIB TOTAL]]</f>
        <v>2.9209778752378554E-2</v>
      </c>
    </row>
    <row r="330" spans="1:8" hidden="1" x14ac:dyDescent="0.3">
      <c r="A330" t="s">
        <v>141</v>
      </c>
      <c r="B330" t="s">
        <v>142</v>
      </c>
      <c r="C330" t="s">
        <v>95</v>
      </c>
      <c r="D330" t="s">
        <v>103</v>
      </c>
      <c r="E330" t="s">
        <v>63</v>
      </c>
      <c r="F330">
        <v>57894.258000000002</v>
      </c>
      <c r="G330">
        <v>1991519.7</v>
      </c>
      <c r="H330" s="10">
        <f>PIB_ACTIVIDADES[[#This Row],[PIB]]/PIB_ACTIVIDADES[[#This Row],[PIB TOTAL]]</f>
        <v>2.9070391821883562E-2</v>
      </c>
    </row>
    <row r="331" spans="1:8" hidden="1" x14ac:dyDescent="0.3">
      <c r="A331" t="s">
        <v>141</v>
      </c>
      <c r="B331" t="s">
        <v>142</v>
      </c>
      <c r="C331" t="s">
        <v>95</v>
      </c>
      <c r="D331" t="s">
        <v>103</v>
      </c>
      <c r="E331" t="s">
        <v>64</v>
      </c>
      <c r="F331">
        <v>58882.864999999998</v>
      </c>
      <c r="G331">
        <v>2059995.5649999999</v>
      </c>
      <c r="H331" s="10">
        <f>PIB_ACTIVIDADES[[#This Row],[PIB]]/PIB_ACTIVIDADES[[#This Row],[PIB TOTAL]]</f>
        <v>2.8583976587347654E-2</v>
      </c>
    </row>
    <row r="332" spans="1:8" hidden="1" x14ac:dyDescent="0.3">
      <c r="A332" t="s">
        <v>143</v>
      </c>
      <c r="B332" t="s">
        <v>144</v>
      </c>
      <c r="C332" t="s">
        <v>95</v>
      </c>
      <c r="D332" t="s">
        <v>103</v>
      </c>
      <c r="E332" t="s">
        <v>43</v>
      </c>
      <c r="F332">
        <v>20241.829000000002</v>
      </c>
      <c r="G332">
        <v>1289662.122</v>
      </c>
      <c r="H332" s="10">
        <f>PIB_ACTIVIDADES[[#This Row],[PIB]]/PIB_ACTIVIDADES[[#This Row],[PIB TOTAL]]</f>
        <v>1.5695451277276486E-2</v>
      </c>
    </row>
    <row r="333" spans="1:8" hidden="1" x14ac:dyDescent="0.3">
      <c r="A333" t="s">
        <v>143</v>
      </c>
      <c r="B333" t="s">
        <v>144</v>
      </c>
      <c r="C333" t="s">
        <v>95</v>
      </c>
      <c r="D333" t="s">
        <v>103</v>
      </c>
      <c r="E333" t="s">
        <v>44</v>
      </c>
      <c r="F333">
        <v>20044.191999999999</v>
      </c>
      <c r="G333">
        <v>1335507.8389999999</v>
      </c>
      <c r="H333" s="10">
        <f>PIB_ACTIVIDADES[[#This Row],[PIB]]/PIB_ACTIVIDADES[[#This Row],[PIB TOTAL]]</f>
        <v>1.5008666676946402E-2</v>
      </c>
    </row>
    <row r="334" spans="1:8" hidden="1" x14ac:dyDescent="0.3">
      <c r="A334" t="s">
        <v>143</v>
      </c>
      <c r="B334" t="s">
        <v>144</v>
      </c>
      <c r="C334" t="s">
        <v>95</v>
      </c>
      <c r="D334" t="s">
        <v>103</v>
      </c>
      <c r="E334" t="s">
        <v>45</v>
      </c>
      <c r="F334">
        <v>20203.759999999998</v>
      </c>
      <c r="G334">
        <v>1368861.9909999999</v>
      </c>
      <c r="H334" s="10">
        <f>PIB_ACTIVIDADES[[#This Row],[PIB]]/PIB_ACTIVIDADES[[#This Row],[PIB TOTAL]]</f>
        <v>1.4759530276124089E-2</v>
      </c>
    </row>
    <row r="335" spans="1:8" hidden="1" x14ac:dyDescent="0.3">
      <c r="A335" t="s">
        <v>143</v>
      </c>
      <c r="B335" t="s">
        <v>144</v>
      </c>
      <c r="C335" t="s">
        <v>95</v>
      </c>
      <c r="D335" t="s">
        <v>103</v>
      </c>
      <c r="E335" t="s">
        <v>46</v>
      </c>
      <c r="F335">
        <v>22398.557000000001</v>
      </c>
      <c r="G335">
        <v>1469583.898</v>
      </c>
      <c r="H335" s="10">
        <f>PIB_ACTIVIDADES[[#This Row],[PIB]]/PIB_ACTIVIDADES[[#This Row],[PIB TOTAL]]</f>
        <v>1.5241427883418467E-2</v>
      </c>
    </row>
    <row r="336" spans="1:8" hidden="1" x14ac:dyDescent="0.3">
      <c r="A336" t="s">
        <v>143</v>
      </c>
      <c r="B336" t="s">
        <v>144</v>
      </c>
      <c r="C336" t="s">
        <v>95</v>
      </c>
      <c r="D336" t="s">
        <v>103</v>
      </c>
      <c r="E336" t="s">
        <v>47</v>
      </c>
      <c r="F336">
        <v>23429.66</v>
      </c>
      <c r="G336">
        <v>1532409.5149999999</v>
      </c>
      <c r="H336" s="10">
        <f>PIB_ACTIVIDADES[[#This Row],[PIB]]/PIB_ACTIVIDADES[[#This Row],[PIB TOTAL]]</f>
        <v>1.5289424772333133E-2</v>
      </c>
    </row>
    <row r="337" spans="1:8" hidden="1" x14ac:dyDescent="0.3">
      <c r="A337" t="s">
        <v>143</v>
      </c>
      <c r="B337" t="s">
        <v>144</v>
      </c>
      <c r="C337" t="s">
        <v>95</v>
      </c>
      <c r="D337" t="s">
        <v>103</v>
      </c>
      <c r="E337" t="s">
        <v>48</v>
      </c>
      <c r="F337">
        <v>24149.669000000002</v>
      </c>
      <c r="G337">
        <v>1531655.04</v>
      </c>
      <c r="H337" s="10">
        <f>PIB_ACTIVIDADES[[#This Row],[PIB]]/PIB_ACTIVIDADES[[#This Row],[PIB TOTAL]]</f>
        <v>1.5767041774628315E-2</v>
      </c>
    </row>
    <row r="338" spans="1:8" hidden="1" x14ac:dyDescent="0.3">
      <c r="A338" t="s">
        <v>143</v>
      </c>
      <c r="B338" t="s">
        <v>144</v>
      </c>
      <c r="C338" t="s">
        <v>95</v>
      </c>
      <c r="D338" t="s">
        <v>103</v>
      </c>
      <c r="E338" t="s">
        <v>49</v>
      </c>
      <c r="F338">
        <v>24273.436000000002</v>
      </c>
      <c r="G338">
        <v>1411038.652</v>
      </c>
      <c r="H338" s="10">
        <f>PIB_ACTIVIDADES[[#This Row],[PIB]]/PIB_ACTIVIDADES[[#This Row],[PIB TOTAL]]</f>
        <v>1.7202530891407504E-2</v>
      </c>
    </row>
    <row r="339" spans="1:8" hidden="1" x14ac:dyDescent="0.3">
      <c r="A339" t="s">
        <v>143</v>
      </c>
      <c r="B339" t="s">
        <v>144</v>
      </c>
      <c r="C339" t="s">
        <v>95</v>
      </c>
      <c r="D339" t="s">
        <v>103</v>
      </c>
      <c r="E339" t="s">
        <v>50</v>
      </c>
      <c r="F339">
        <v>25443.19</v>
      </c>
      <c r="G339">
        <v>1509564.2709999999</v>
      </c>
      <c r="H339" s="10">
        <f>PIB_ACTIVIDADES[[#This Row],[PIB]]/PIB_ACTIVIDADES[[#This Row],[PIB TOTAL]]</f>
        <v>1.6854658320142501E-2</v>
      </c>
    </row>
    <row r="340" spans="1:8" hidden="1" x14ac:dyDescent="0.3">
      <c r="A340" t="s">
        <v>143</v>
      </c>
      <c r="B340" t="s">
        <v>144</v>
      </c>
      <c r="C340" t="s">
        <v>95</v>
      </c>
      <c r="D340" t="s">
        <v>103</v>
      </c>
      <c r="E340" t="s">
        <v>51</v>
      </c>
      <c r="F340">
        <v>25265.064999999999</v>
      </c>
      <c r="G340">
        <v>1558834.9950000001</v>
      </c>
      <c r="H340" s="10">
        <f>PIB_ACTIVIDADES[[#This Row],[PIB]]/PIB_ACTIVIDADES[[#This Row],[PIB TOTAL]]</f>
        <v>1.6207658335255681E-2</v>
      </c>
    </row>
    <row r="341" spans="1:8" hidden="1" x14ac:dyDescent="0.3">
      <c r="A341" t="s">
        <v>143</v>
      </c>
      <c r="B341" t="s">
        <v>144</v>
      </c>
      <c r="C341" t="s">
        <v>95</v>
      </c>
      <c r="D341" t="s">
        <v>103</v>
      </c>
      <c r="E341" t="s">
        <v>52</v>
      </c>
      <c r="F341">
        <v>25305.79</v>
      </c>
      <c r="G341">
        <v>1621930.2709999999</v>
      </c>
      <c r="H341" s="10">
        <f>PIB_ACTIVIDADES[[#This Row],[PIB]]/PIB_ACTIVIDADES[[#This Row],[PIB TOTAL]]</f>
        <v>1.5602267528059474E-2</v>
      </c>
    </row>
    <row r="342" spans="1:8" hidden="1" x14ac:dyDescent="0.3">
      <c r="A342" t="s">
        <v>143</v>
      </c>
      <c r="B342" t="s">
        <v>144</v>
      </c>
      <c r="C342" t="s">
        <v>95</v>
      </c>
      <c r="D342" t="s">
        <v>103</v>
      </c>
      <c r="E342" t="s">
        <v>53</v>
      </c>
      <c r="F342">
        <v>26721.916000000001</v>
      </c>
      <c r="G342">
        <v>1611568.7879999999</v>
      </c>
      <c r="H342" s="10">
        <f>PIB_ACTIVIDADES[[#This Row],[PIB]]/PIB_ACTIVIDADES[[#This Row],[PIB TOTAL]]</f>
        <v>1.6581306487799763E-2</v>
      </c>
    </row>
    <row r="343" spans="1:8" hidden="1" x14ac:dyDescent="0.3">
      <c r="A343" t="s">
        <v>143</v>
      </c>
      <c r="B343" t="s">
        <v>144</v>
      </c>
      <c r="C343" t="s">
        <v>95</v>
      </c>
      <c r="D343" t="s">
        <v>103</v>
      </c>
      <c r="E343" t="s">
        <v>54</v>
      </c>
      <c r="F343">
        <v>27007.697</v>
      </c>
      <c r="G343">
        <v>1666974.7009999999</v>
      </c>
      <c r="H343" s="10">
        <f>PIB_ACTIVIDADES[[#This Row],[PIB]]/PIB_ACTIVIDADES[[#This Row],[PIB TOTAL]]</f>
        <v>1.620162380616717E-2</v>
      </c>
    </row>
    <row r="344" spans="1:8" hidden="1" x14ac:dyDescent="0.3">
      <c r="A344" t="s">
        <v>143</v>
      </c>
      <c r="B344" t="s">
        <v>144</v>
      </c>
      <c r="C344" t="s">
        <v>95</v>
      </c>
      <c r="D344" t="s">
        <v>103</v>
      </c>
      <c r="E344" t="s">
        <v>55</v>
      </c>
      <c r="F344">
        <v>26115.159</v>
      </c>
      <c r="G344">
        <v>1728163.9920000001</v>
      </c>
      <c r="H344" s="10">
        <f>PIB_ACTIVIDADES[[#This Row],[PIB]]/PIB_ACTIVIDADES[[#This Row],[PIB TOTAL]]</f>
        <v>1.5111505112299551E-2</v>
      </c>
    </row>
    <row r="345" spans="1:8" hidden="1" x14ac:dyDescent="0.3">
      <c r="A345" t="s">
        <v>143</v>
      </c>
      <c r="B345" t="s">
        <v>144</v>
      </c>
      <c r="C345" t="s">
        <v>95</v>
      </c>
      <c r="D345" t="s">
        <v>103</v>
      </c>
      <c r="E345" t="s">
        <v>56</v>
      </c>
      <c r="F345">
        <v>26339.030999999999</v>
      </c>
      <c r="G345">
        <v>1743960.8829999999</v>
      </c>
      <c r="H345" s="10">
        <f>PIB_ACTIVIDADES[[#This Row],[PIB]]/PIB_ACTIVIDADES[[#This Row],[PIB TOTAL]]</f>
        <v>1.5102994142099688E-2</v>
      </c>
    </row>
    <row r="346" spans="1:8" hidden="1" x14ac:dyDescent="0.3">
      <c r="A346" t="s">
        <v>143</v>
      </c>
      <c r="B346" t="s">
        <v>144</v>
      </c>
      <c r="C346" t="s">
        <v>95</v>
      </c>
      <c r="D346" t="s">
        <v>103</v>
      </c>
      <c r="E346" t="s">
        <v>57</v>
      </c>
      <c r="F346">
        <v>27915.414000000001</v>
      </c>
      <c r="G346">
        <v>1809343.5560000001</v>
      </c>
      <c r="H346" s="10">
        <f>PIB_ACTIVIDADES[[#This Row],[PIB]]/PIB_ACTIVIDADES[[#This Row],[PIB TOTAL]]</f>
        <v>1.5428476204770034E-2</v>
      </c>
    </row>
    <row r="347" spans="1:8" hidden="1" x14ac:dyDescent="0.3">
      <c r="A347" t="s">
        <v>143</v>
      </c>
      <c r="B347" t="s">
        <v>144</v>
      </c>
      <c r="C347" t="s">
        <v>95</v>
      </c>
      <c r="D347" t="s">
        <v>103</v>
      </c>
      <c r="E347" t="s">
        <v>58</v>
      </c>
      <c r="F347">
        <v>29576.131000000001</v>
      </c>
      <c r="G347">
        <v>1909026.4350000001</v>
      </c>
      <c r="H347" s="10">
        <f>PIB_ACTIVIDADES[[#This Row],[PIB]]/PIB_ACTIVIDADES[[#This Row],[PIB TOTAL]]</f>
        <v>1.5492782319695851E-2</v>
      </c>
    </row>
    <row r="348" spans="1:8" hidden="1" x14ac:dyDescent="0.3">
      <c r="A348" t="s">
        <v>143</v>
      </c>
      <c r="B348" t="s">
        <v>144</v>
      </c>
      <c r="C348" t="s">
        <v>95</v>
      </c>
      <c r="D348" t="s">
        <v>103</v>
      </c>
      <c r="E348" t="s">
        <v>59</v>
      </c>
      <c r="F348">
        <v>30964.675999999999</v>
      </c>
      <c r="G348">
        <v>1918825.0060000001</v>
      </c>
      <c r="H348" s="10">
        <f>PIB_ACTIVIDADES[[#This Row],[PIB]]/PIB_ACTIVIDADES[[#This Row],[PIB TOTAL]]</f>
        <v>1.6137311064415009E-2</v>
      </c>
    </row>
    <row r="349" spans="1:8" hidden="1" x14ac:dyDescent="0.3">
      <c r="A349" t="s">
        <v>143</v>
      </c>
      <c r="B349" t="s">
        <v>144</v>
      </c>
      <c r="C349" t="s">
        <v>95</v>
      </c>
      <c r="D349" t="s">
        <v>103</v>
      </c>
      <c r="E349" t="s">
        <v>60</v>
      </c>
      <c r="F349">
        <v>29870.056</v>
      </c>
      <c r="G349">
        <v>1743165.6229999999</v>
      </c>
      <c r="H349" s="10">
        <f>PIB_ACTIVIDADES[[#This Row],[PIB]]/PIB_ACTIVIDADES[[#This Row],[PIB TOTAL]]</f>
        <v>1.7135523788378428E-2</v>
      </c>
    </row>
    <row r="350" spans="1:8" hidden="1" x14ac:dyDescent="0.3">
      <c r="A350" t="s">
        <v>143</v>
      </c>
      <c r="B350" t="s">
        <v>144</v>
      </c>
      <c r="C350" t="s">
        <v>95</v>
      </c>
      <c r="D350" t="s">
        <v>103</v>
      </c>
      <c r="E350" t="s">
        <v>61</v>
      </c>
      <c r="F350">
        <v>32386.571</v>
      </c>
      <c r="G350">
        <v>1865875.274</v>
      </c>
      <c r="H350" s="10">
        <f>PIB_ACTIVIDADES[[#This Row],[PIB]]/PIB_ACTIVIDADES[[#This Row],[PIB TOTAL]]</f>
        <v>1.7357307560312309E-2</v>
      </c>
    </row>
    <row r="351" spans="1:8" hidden="1" x14ac:dyDescent="0.3">
      <c r="A351" t="s">
        <v>143</v>
      </c>
      <c r="B351" t="s">
        <v>144</v>
      </c>
      <c r="C351" t="s">
        <v>95</v>
      </c>
      <c r="D351" t="s">
        <v>103</v>
      </c>
      <c r="E351" t="s">
        <v>62</v>
      </c>
      <c r="F351">
        <v>31360.379000000001</v>
      </c>
      <c r="G351">
        <v>1928658.429</v>
      </c>
      <c r="H351" s="10">
        <f>PIB_ACTIVIDADES[[#This Row],[PIB]]/PIB_ACTIVIDADES[[#This Row],[PIB TOTAL]]</f>
        <v>1.6260203739788287E-2</v>
      </c>
    </row>
    <row r="352" spans="1:8" hidden="1" x14ac:dyDescent="0.3">
      <c r="A352" t="s">
        <v>143</v>
      </c>
      <c r="B352" t="s">
        <v>144</v>
      </c>
      <c r="C352" t="s">
        <v>95</v>
      </c>
      <c r="D352" t="s">
        <v>103</v>
      </c>
      <c r="E352" t="s">
        <v>63</v>
      </c>
      <c r="F352">
        <v>31717.800999999999</v>
      </c>
      <c r="G352">
        <v>1991519.7</v>
      </c>
      <c r="H352" s="10">
        <f>PIB_ACTIVIDADES[[#This Row],[PIB]]/PIB_ACTIVIDADES[[#This Row],[PIB TOTAL]]</f>
        <v>1.5926430956219012E-2</v>
      </c>
    </row>
    <row r="353" spans="1:8" hidden="1" x14ac:dyDescent="0.3">
      <c r="A353" t="s">
        <v>143</v>
      </c>
      <c r="B353" t="s">
        <v>144</v>
      </c>
      <c r="C353" t="s">
        <v>95</v>
      </c>
      <c r="D353" t="s">
        <v>103</v>
      </c>
      <c r="E353" t="s">
        <v>64</v>
      </c>
      <c r="F353">
        <v>32610.984</v>
      </c>
      <c r="G353">
        <v>2059995.5649999999</v>
      </c>
      <c r="H353" s="10">
        <f>PIB_ACTIVIDADES[[#This Row],[PIB]]/PIB_ACTIVIDADES[[#This Row],[PIB TOTAL]]</f>
        <v>1.5830608839199126E-2</v>
      </c>
    </row>
    <row r="354" spans="1:8" hidden="1" x14ac:dyDescent="0.3">
      <c r="A354" t="s">
        <v>145</v>
      </c>
      <c r="B354" t="s">
        <v>146</v>
      </c>
      <c r="C354" t="s">
        <v>95</v>
      </c>
      <c r="D354" t="s">
        <v>104</v>
      </c>
      <c r="E354" t="s">
        <v>43</v>
      </c>
      <c r="F354">
        <v>9787.09</v>
      </c>
      <c r="G354">
        <v>1289662.122</v>
      </c>
      <c r="H354" s="10">
        <f>PIB_ACTIVIDADES[[#This Row],[PIB]]/PIB_ACTIVIDADES[[#This Row],[PIB TOTAL]]</f>
        <v>7.5888791591570059E-3</v>
      </c>
    </row>
    <row r="355" spans="1:8" hidden="1" x14ac:dyDescent="0.3">
      <c r="A355" t="s">
        <v>145</v>
      </c>
      <c r="B355" t="s">
        <v>146</v>
      </c>
      <c r="C355" t="s">
        <v>95</v>
      </c>
      <c r="D355" t="s">
        <v>104</v>
      </c>
      <c r="E355" t="s">
        <v>44</v>
      </c>
      <c r="F355">
        <v>10028.870999999999</v>
      </c>
      <c r="G355">
        <v>1335507.8389999999</v>
      </c>
      <c r="H355" s="10">
        <f>PIB_ACTIVIDADES[[#This Row],[PIB]]/PIB_ACTIVIDADES[[#This Row],[PIB TOTAL]]</f>
        <v>7.5094063150609484E-3</v>
      </c>
    </row>
    <row r="356" spans="1:8" hidden="1" x14ac:dyDescent="0.3">
      <c r="A356" t="s">
        <v>145</v>
      </c>
      <c r="B356" t="s">
        <v>146</v>
      </c>
      <c r="C356" t="s">
        <v>95</v>
      </c>
      <c r="D356" t="s">
        <v>104</v>
      </c>
      <c r="E356" t="s">
        <v>45</v>
      </c>
      <c r="F356">
        <v>10248.485000000001</v>
      </c>
      <c r="G356">
        <v>1368861.9909999999</v>
      </c>
      <c r="H356" s="10">
        <f>PIB_ACTIVIDADES[[#This Row],[PIB]]/PIB_ACTIVIDADES[[#This Row],[PIB TOTAL]]</f>
        <v>7.4868650509560403E-3</v>
      </c>
    </row>
    <row r="357" spans="1:8" hidden="1" x14ac:dyDescent="0.3">
      <c r="A357" t="s">
        <v>145</v>
      </c>
      <c r="B357" t="s">
        <v>146</v>
      </c>
      <c r="C357" t="s">
        <v>95</v>
      </c>
      <c r="D357" t="s">
        <v>104</v>
      </c>
      <c r="E357" t="s">
        <v>46</v>
      </c>
      <c r="F357">
        <v>10657.145</v>
      </c>
      <c r="G357">
        <v>1469583.898</v>
      </c>
      <c r="H357" s="10">
        <f>PIB_ACTIVIDADES[[#This Row],[PIB]]/PIB_ACTIVIDADES[[#This Row],[PIB TOTAL]]</f>
        <v>7.2518112198314251E-3</v>
      </c>
    </row>
    <row r="358" spans="1:8" hidden="1" x14ac:dyDescent="0.3">
      <c r="A358" t="s">
        <v>145</v>
      </c>
      <c r="B358" t="s">
        <v>146</v>
      </c>
      <c r="C358" t="s">
        <v>95</v>
      </c>
      <c r="D358" t="s">
        <v>104</v>
      </c>
      <c r="E358" t="s">
        <v>47</v>
      </c>
      <c r="F358">
        <v>10941.082</v>
      </c>
      <c r="G358">
        <v>1532409.5149999999</v>
      </c>
      <c r="H358" s="10">
        <f>PIB_ACTIVIDADES[[#This Row],[PIB]]/PIB_ACTIVIDADES[[#This Row],[PIB TOTAL]]</f>
        <v>7.1397899144472494E-3</v>
      </c>
    </row>
    <row r="359" spans="1:8" hidden="1" x14ac:dyDescent="0.3">
      <c r="A359" t="s">
        <v>145</v>
      </c>
      <c r="B359" t="s">
        <v>146</v>
      </c>
      <c r="C359" t="s">
        <v>95</v>
      </c>
      <c r="D359" t="s">
        <v>104</v>
      </c>
      <c r="E359" t="s">
        <v>48</v>
      </c>
      <c r="F359">
        <v>11003.994000000001</v>
      </c>
      <c r="G359">
        <v>1531655.04</v>
      </c>
      <c r="H359" s="10">
        <f>PIB_ACTIVIDADES[[#This Row],[PIB]]/PIB_ACTIVIDADES[[#This Row],[PIB TOTAL]]</f>
        <v>7.1843814126710936E-3</v>
      </c>
    </row>
    <row r="360" spans="1:8" hidden="1" x14ac:dyDescent="0.3">
      <c r="A360" t="s">
        <v>145</v>
      </c>
      <c r="B360" t="s">
        <v>146</v>
      </c>
      <c r="C360" t="s">
        <v>95</v>
      </c>
      <c r="D360" t="s">
        <v>104</v>
      </c>
      <c r="E360" t="s">
        <v>49</v>
      </c>
      <c r="F360">
        <v>10702.146000000001</v>
      </c>
      <c r="G360">
        <v>1411038.652</v>
      </c>
      <c r="H360" s="10">
        <f>PIB_ACTIVIDADES[[#This Row],[PIB]]/PIB_ACTIVIDADES[[#This Row],[PIB TOTAL]]</f>
        <v>7.5845874135558409E-3</v>
      </c>
    </row>
    <row r="361" spans="1:8" hidden="1" x14ac:dyDescent="0.3">
      <c r="A361" t="s">
        <v>145</v>
      </c>
      <c r="B361" t="s">
        <v>146</v>
      </c>
      <c r="C361" t="s">
        <v>95</v>
      </c>
      <c r="D361" t="s">
        <v>104</v>
      </c>
      <c r="E361" t="s">
        <v>50</v>
      </c>
      <c r="F361">
        <v>10980.5</v>
      </c>
      <c r="G361">
        <v>1509564.2709999999</v>
      </c>
      <c r="H361" s="10">
        <f>PIB_ACTIVIDADES[[#This Row],[PIB]]/PIB_ACTIVIDADES[[#This Row],[PIB TOTAL]]</f>
        <v>7.2739532929764206E-3</v>
      </c>
    </row>
    <row r="362" spans="1:8" hidden="1" x14ac:dyDescent="0.3">
      <c r="A362" t="s">
        <v>145</v>
      </c>
      <c r="B362" t="s">
        <v>146</v>
      </c>
      <c r="C362" t="s">
        <v>95</v>
      </c>
      <c r="D362" t="s">
        <v>104</v>
      </c>
      <c r="E362" t="s">
        <v>51</v>
      </c>
      <c r="F362">
        <v>11055.369000000001</v>
      </c>
      <c r="G362">
        <v>1558834.9950000001</v>
      </c>
      <c r="H362" s="10">
        <f>PIB_ACTIVIDADES[[#This Row],[PIB]]/PIB_ACTIVIDADES[[#This Row],[PIB TOTAL]]</f>
        <v>7.0920713452420278E-3</v>
      </c>
    </row>
    <row r="363" spans="1:8" hidden="1" x14ac:dyDescent="0.3">
      <c r="A363" t="s">
        <v>145</v>
      </c>
      <c r="B363" t="s">
        <v>146</v>
      </c>
      <c r="C363" t="s">
        <v>95</v>
      </c>
      <c r="D363" t="s">
        <v>104</v>
      </c>
      <c r="E363" t="s">
        <v>52</v>
      </c>
      <c r="F363">
        <v>11567.263999999999</v>
      </c>
      <c r="G363">
        <v>1621930.2709999999</v>
      </c>
      <c r="H363" s="10">
        <f>PIB_ACTIVIDADES[[#This Row],[PIB]]/PIB_ACTIVIDADES[[#This Row],[PIB TOTAL]]</f>
        <v>7.1317887130056528E-3</v>
      </c>
    </row>
    <row r="364" spans="1:8" hidden="1" x14ac:dyDescent="0.3">
      <c r="A364" t="s">
        <v>145</v>
      </c>
      <c r="B364" t="s">
        <v>146</v>
      </c>
      <c r="C364" t="s">
        <v>95</v>
      </c>
      <c r="D364" t="s">
        <v>104</v>
      </c>
      <c r="E364" t="s">
        <v>53</v>
      </c>
      <c r="F364">
        <v>12092.620999999999</v>
      </c>
      <c r="G364">
        <v>1611568.7879999999</v>
      </c>
      <c r="H364" s="10">
        <f>PIB_ACTIVIDADES[[#This Row],[PIB]]/PIB_ACTIVIDADES[[#This Row],[PIB TOTAL]]</f>
        <v>7.5036331617015653E-3</v>
      </c>
    </row>
    <row r="365" spans="1:8" hidden="1" x14ac:dyDescent="0.3">
      <c r="A365" t="s">
        <v>145</v>
      </c>
      <c r="B365" t="s">
        <v>146</v>
      </c>
      <c r="C365" t="s">
        <v>95</v>
      </c>
      <c r="D365" t="s">
        <v>104</v>
      </c>
      <c r="E365" t="s">
        <v>54</v>
      </c>
      <c r="F365">
        <v>12184.05</v>
      </c>
      <c r="G365">
        <v>1666974.7009999999</v>
      </c>
      <c r="H365" s="10">
        <f>PIB_ACTIVIDADES[[#This Row],[PIB]]/PIB_ACTIVIDADES[[#This Row],[PIB TOTAL]]</f>
        <v>7.3090791316094486E-3</v>
      </c>
    </row>
    <row r="366" spans="1:8" hidden="1" x14ac:dyDescent="0.3">
      <c r="A366" t="s">
        <v>145</v>
      </c>
      <c r="B366" t="s">
        <v>146</v>
      </c>
      <c r="C366" t="s">
        <v>95</v>
      </c>
      <c r="D366" t="s">
        <v>104</v>
      </c>
      <c r="E366" t="s">
        <v>55</v>
      </c>
      <c r="F366">
        <v>12828.322</v>
      </c>
      <c r="G366">
        <v>1728163.9920000001</v>
      </c>
      <c r="H366" s="10">
        <f>PIB_ACTIVIDADES[[#This Row],[PIB]]/PIB_ACTIVIDADES[[#This Row],[PIB TOTAL]]</f>
        <v>7.4230929815600503E-3</v>
      </c>
    </row>
    <row r="367" spans="1:8" hidden="1" x14ac:dyDescent="0.3">
      <c r="A367" t="s">
        <v>145</v>
      </c>
      <c r="B367" t="s">
        <v>146</v>
      </c>
      <c r="C367" t="s">
        <v>95</v>
      </c>
      <c r="D367" t="s">
        <v>104</v>
      </c>
      <c r="E367" t="s">
        <v>56</v>
      </c>
      <c r="F367">
        <v>13415.398999999999</v>
      </c>
      <c r="G367">
        <v>1743960.8829999999</v>
      </c>
      <c r="H367" s="10">
        <f>PIB_ACTIVIDADES[[#This Row],[PIB]]/PIB_ACTIVIDADES[[#This Row],[PIB TOTAL]]</f>
        <v>7.6924884788255885E-3</v>
      </c>
    </row>
    <row r="368" spans="1:8" hidden="1" x14ac:dyDescent="0.3">
      <c r="A368" t="s">
        <v>145</v>
      </c>
      <c r="B368" t="s">
        <v>146</v>
      </c>
      <c r="C368" t="s">
        <v>95</v>
      </c>
      <c r="D368" t="s">
        <v>104</v>
      </c>
      <c r="E368" t="s">
        <v>57</v>
      </c>
      <c r="F368">
        <v>13853.034</v>
      </c>
      <c r="G368">
        <v>1809343.5560000001</v>
      </c>
      <c r="H368" s="10">
        <f>PIB_ACTIVIDADES[[#This Row],[PIB]]/PIB_ACTIVIDADES[[#This Row],[PIB TOTAL]]</f>
        <v>7.6563867343278609E-3</v>
      </c>
    </row>
    <row r="369" spans="1:8" hidden="1" x14ac:dyDescent="0.3">
      <c r="A369" t="s">
        <v>145</v>
      </c>
      <c r="B369" t="s">
        <v>146</v>
      </c>
      <c r="C369" t="s">
        <v>95</v>
      </c>
      <c r="D369" t="s">
        <v>104</v>
      </c>
      <c r="E369" t="s">
        <v>58</v>
      </c>
      <c r="F369">
        <v>14079.300999999999</v>
      </c>
      <c r="G369">
        <v>1909026.4350000001</v>
      </c>
      <c r="H369" s="10">
        <f>PIB_ACTIVIDADES[[#This Row],[PIB]]/PIB_ACTIVIDADES[[#This Row],[PIB TOTAL]]</f>
        <v>7.3751210260218315E-3</v>
      </c>
    </row>
    <row r="370" spans="1:8" hidden="1" x14ac:dyDescent="0.3">
      <c r="A370" t="s">
        <v>145</v>
      </c>
      <c r="B370" t="s">
        <v>146</v>
      </c>
      <c r="C370" t="s">
        <v>95</v>
      </c>
      <c r="D370" t="s">
        <v>104</v>
      </c>
      <c r="E370" t="s">
        <v>59</v>
      </c>
      <c r="F370">
        <v>14030.6</v>
      </c>
      <c r="G370">
        <v>1918825.0060000001</v>
      </c>
      <c r="H370" s="10">
        <f>PIB_ACTIVIDADES[[#This Row],[PIB]]/PIB_ACTIVIDADES[[#This Row],[PIB TOTAL]]</f>
        <v>7.3120789838195385E-3</v>
      </c>
    </row>
    <row r="371" spans="1:8" hidden="1" x14ac:dyDescent="0.3">
      <c r="A371" t="s">
        <v>145</v>
      </c>
      <c r="B371" t="s">
        <v>146</v>
      </c>
      <c r="C371" t="s">
        <v>95</v>
      </c>
      <c r="D371" t="s">
        <v>104</v>
      </c>
      <c r="E371" t="s">
        <v>60</v>
      </c>
      <c r="F371">
        <v>8269.9940000000006</v>
      </c>
      <c r="G371">
        <v>1743165.6229999999</v>
      </c>
      <c r="H371" s="10">
        <f>PIB_ACTIVIDADES[[#This Row],[PIB]]/PIB_ACTIVIDADES[[#This Row],[PIB TOTAL]]</f>
        <v>4.7442388094868946E-3</v>
      </c>
    </row>
    <row r="372" spans="1:8" hidden="1" x14ac:dyDescent="0.3">
      <c r="A372" t="s">
        <v>145</v>
      </c>
      <c r="B372" t="s">
        <v>146</v>
      </c>
      <c r="C372" t="s">
        <v>95</v>
      </c>
      <c r="D372" t="s">
        <v>104</v>
      </c>
      <c r="E372" t="s">
        <v>61</v>
      </c>
      <c r="F372">
        <v>10662.484</v>
      </c>
      <c r="G372">
        <v>1865875.274</v>
      </c>
      <c r="H372" s="10">
        <f>PIB_ACTIVIDADES[[#This Row],[PIB]]/PIB_ACTIVIDADES[[#This Row],[PIB TOTAL]]</f>
        <v>5.7144677077702677E-3</v>
      </c>
    </row>
    <row r="373" spans="1:8" hidden="1" x14ac:dyDescent="0.3">
      <c r="A373" t="s">
        <v>145</v>
      </c>
      <c r="B373" t="s">
        <v>146</v>
      </c>
      <c r="C373" t="s">
        <v>95</v>
      </c>
      <c r="D373" t="s">
        <v>104</v>
      </c>
      <c r="E373" t="s">
        <v>62</v>
      </c>
      <c r="F373">
        <v>15525.727000000001</v>
      </c>
      <c r="G373">
        <v>1928658.429</v>
      </c>
      <c r="H373" s="10">
        <f>PIB_ACTIVIDADES[[#This Row],[PIB]]/PIB_ACTIVIDADES[[#This Row],[PIB TOTAL]]</f>
        <v>8.0500138161063665E-3</v>
      </c>
    </row>
    <row r="374" spans="1:8" hidden="1" x14ac:dyDescent="0.3">
      <c r="A374" t="s">
        <v>145</v>
      </c>
      <c r="B374" t="s">
        <v>146</v>
      </c>
      <c r="C374" t="s">
        <v>95</v>
      </c>
      <c r="D374" t="s">
        <v>104</v>
      </c>
      <c r="E374" t="s">
        <v>63</v>
      </c>
      <c r="F374">
        <v>16343.17</v>
      </c>
      <c r="G374">
        <v>1991519.7</v>
      </c>
      <c r="H374" s="10">
        <f>PIB_ACTIVIDADES[[#This Row],[PIB]]/PIB_ACTIVIDADES[[#This Row],[PIB TOTAL]]</f>
        <v>8.2063812876166879E-3</v>
      </c>
    </row>
    <row r="375" spans="1:8" hidden="1" x14ac:dyDescent="0.3">
      <c r="A375" t="s">
        <v>145</v>
      </c>
      <c r="B375" t="s">
        <v>146</v>
      </c>
      <c r="C375" t="s">
        <v>95</v>
      </c>
      <c r="D375" t="s">
        <v>104</v>
      </c>
      <c r="E375" t="s">
        <v>64</v>
      </c>
      <c r="F375">
        <v>16893.694</v>
      </c>
      <c r="G375">
        <v>2059995.5649999999</v>
      </c>
      <c r="H375" s="10">
        <f>PIB_ACTIVIDADES[[#This Row],[PIB]]/PIB_ACTIVIDADES[[#This Row],[PIB TOTAL]]</f>
        <v>8.2008399857889987E-3</v>
      </c>
    </row>
    <row r="376" spans="1:8" hidden="1" x14ac:dyDescent="0.3">
      <c r="A376" t="s">
        <v>147</v>
      </c>
      <c r="B376" t="s">
        <v>148</v>
      </c>
      <c r="C376" t="s">
        <v>95</v>
      </c>
      <c r="D376" t="s">
        <v>104</v>
      </c>
      <c r="E376" t="s">
        <v>43</v>
      </c>
      <c r="F376">
        <v>31445.172999999999</v>
      </c>
      <c r="G376">
        <v>1289662.122</v>
      </c>
      <c r="H376" s="10">
        <f>PIB_ACTIVIDADES[[#This Row],[PIB]]/PIB_ACTIVIDADES[[#This Row],[PIB TOTAL]]</f>
        <v>2.4382489385076318E-2</v>
      </c>
    </row>
    <row r="377" spans="1:8" hidden="1" x14ac:dyDescent="0.3">
      <c r="A377" t="s">
        <v>147</v>
      </c>
      <c r="B377" t="s">
        <v>148</v>
      </c>
      <c r="C377" t="s">
        <v>95</v>
      </c>
      <c r="D377" t="s">
        <v>104</v>
      </c>
      <c r="E377" t="s">
        <v>44</v>
      </c>
      <c r="F377">
        <v>31471.897000000001</v>
      </c>
      <c r="G377">
        <v>1335507.8389999999</v>
      </c>
      <c r="H377" s="10">
        <f>PIB_ACTIVIDADES[[#This Row],[PIB]]/PIB_ACTIVIDADES[[#This Row],[PIB TOTAL]]</f>
        <v>2.3565490280884831E-2</v>
      </c>
    </row>
    <row r="378" spans="1:8" hidden="1" x14ac:dyDescent="0.3">
      <c r="A378" t="s">
        <v>147</v>
      </c>
      <c r="B378" t="s">
        <v>148</v>
      </c>
      <c r="C378" t="s">
        <v>95</v>
      </c>
      <c r="D378" t="s">
        <v>104</v>
      </c>
      <c r="E378" t="s">
        <v>45</v>
      </c>
      <c r="F378">
        <v>32606.741999999998</v>
      </c>
      <c r="G378">
        <v>1368861.9909999999</v>
      </c>
      <c r="H378" s="10">
        <f>PIB_ACTIVIDADES[[#This Row],[PIB]]/PIB_ACTIVIDADES[[#This Row],[PIB TOTAL]]</f>
        <v>2.3820328283189213E-2</v>
      </c>
    </row>
    <row r="379" spans="1:8" hidden="1" x14ac:dyDescent="0.3">
      <c r="A379" t="s">
        <v>147</v>
      </c>
      <c r="B379" t="s">
        <v>148</v>
      </c>
      <c r="C379" t="s">
        <v>95</v>
      </c>
      <c r="D379" t="s">
        <v>104</v>
      </c>
      <c r="E379" t="s">
        <v>46</v>
      </c>
      <c r="F379">
        <v>34003.951000000001</v>
      </c>
      <c r="G379">
        <v>1469583.898</v>
      </c>
      <c r="H379" s="10">
        <f>PIB_ACTIVIDADES[[#This Row],[PIB]]/PIB_ACTIVIDADES[[#This Row],[PIB TOTAL]]</f>
        <v>2.3138489096319697E-2</v>
      </c>
    </row>
    <row r="380" spans="1:8" hidden="1" x14ac:dyDescent="0.3">
      <c r="A380" t="s">
        <v>147</v>
      </c>
      <c r="B380" t="s">
        <v>148</v>
      </c>
      <c r="C380" t="s">
        <v>95</v>
      </c>
      <c r="D380" t="s">
        <v>104</v>
      </c>
      <c r="E380" t="s">
        <v>47</v>
      </c>
      <c r="F380">
        <v>37423.43</v>
      </c>
      <c r="G380">
        <v>1532409.5149999999</v>
      </c>
      <c r="H380" s="10">
        <f>PIB_ACTIVIDADES[[#This Row],[PIB]]/PIB_ACTIVIDADES[[#This Row],[PIB TOTAL]]</f>
        <v>2.4421298375976216E-2</v>
      </c>
    </row>
    <row r="381" spans="1:8" hidden="1" x14ac:dyDescent="0.3">
      <c r="A381" t="s">
        <v>147</v>
      </c>
      <c r="B381" t="s">
        <v>148</v>
      </c>
      <c r="C381" t="s">
        <v>95</v>
      </c>
      <c r="D381" t="s">
        <v>104</v>
      </c>
      <c r="E381" t="s">
        <v>48</v>
      </c>
      <c r="F381">
        <v>34655.150999999998</v>
      </c>
      <c r="G381">
        <v>1531655.04</v>
      </c>
      <c r="H381" s="10">
        <f>PIB_ACTIVIDADES[[#This Row],[PIB]]/PIB_ACTIVIDADES[[#This Row],[PIB TOTAL]]</f>
        <v>2.262595042288373E-2</v>
      </c>
    </row>
    <row r="382" spans="1:8" hidden="1" x14ac:dyDescent="0.3">
      <c r="A382" t="s">
        <v>147</v>
      </c>
      <c r="B382" t="s">
        <v>148</v>
      </c>
      <c r="C382" t="s">
        <v>95</v>
      </c>
      <c r="D382" t="s">
        <v>104</v>
      </c>
      <c r="E382" t="s">
        <v>49</v>
      </c>
      <c r="F382">
        <v>29156.075000000001</v>
      </c>
      <c r="G382">
        <v>1411038.652</v>
      </c>
      <c r="H382" s="10">
        <f>PIB_ACTIVIDADES[[#This Row],[PIB]]/PIB_ACTIVIDADES[[#This Row],[PIB TOTAL]]</f>
        <v>2.0662846449085084E-2</v>
      </c>
    </row>
    <row r="383" spans="1:8" hidden="1" x14ac:dyDescent="0.3">
      <c r="A383" t="s">
        <v>147</v>
      </c>
      <c r="B383" t="s">
        <v>148</v>
      </c>
      <c r="C383" t="s">
        <v>95</v>
      </c>
      <c r="D383" t="s">
        <v>104</v>
      </c>
      <c r="E383" t="s">
        <v>50</v>
      </c>
      <c r="F383">
        <v>26561.111000000001</v>
      </c>
      <c r="G383">
        <v>1509564.2709999999</v>
      </c>
      <c r="H383" s="10">
        <f>PIB_ACTIVIDADES[[#This Row],[PIB]]/PIB_ACTIVIDADES[[#This Row],[PIB TOTAL]]</f>
        <v>1.7595217050549814E-2</v>
      </c>
    </row>
    <row r="384" spans="1:8" hidden="1" x14ac:dyDescent="0.3">
      <c r="A384" t="s">
        <v>147</v>
      </c>
      <c r="B384" t="s">
        <v>148</v>
      </c>
      <c r="C384" t="s">
        <v>95</v>
      </c>
      <c r="D384" t="s">
        <v>104</v>
      </c>
      <c r="E384" t="s">
        <v>51</v>
      </c>
      <c r="F384">
        <v>25092.29</v>
      </c>
      <c r="G384">
        <v>1558834.9950000001</v>
      </c>
      <c r="H384" s="10">
        <f>PIB_ACTIVIDADES[[#This Row],[PIB]]/PIB_ACTIVIDADES[[#This Row],[PIB TOTAL]]</f>
        <v>1.6096822358032833E-2</v>
      </c>
    </row>
    <row r="385" spans="1:8" hidden="1" x14ac:dyDescent="0.3">
      <c r="A385" t="s">
        <v>147</v>
      </c>
      <c r="B385" t="s">
        <v>148</v>
      </c>
      <c r="C385" t="s">
        <v>95</v>
      </c>
      <c r="D385" t="s">
        <v>104</v>
      </c>
      <c r="E385" t="s">
        <v>52</v>
      </c>
      <c r="F385">
        <v>28288.286</v>
      </c>
      <c r="G385">
        <v>1621930.2709999999</v>
      </c>
      <c r="H385" s="10">
        <f>PIB_ACTIVIDADES[[#This Row],[PIB]]/PIB_ACTIVIDADES[[#This Row],[PIB TOTAL]]</f>
        <v>1.7441123398331346E-2</v>
      </c>
    </row>
    <row r="386" spans="1:8" hidden="1" x14ac:dyDescent="0.3">
      <c r="A386" t="s">
        <v>147</v>
      </c>
      <c r="B386" t="s">
        <v>148</v>
      </c>
      <c r="C386" t="s">
        <v>95</v>
      </c>
      <c r="D386" t="s">
        <v>104</v>
      </c>
      <c r="E386" t="s">
        <v>53</v>
      </c>
      <c r="F386">
        <v>29605.833999999999</v>
      </c>
      <c r="G386">
        <v>1611568.7879999999</v>
      </c>
      <c r="H386" s="10">
        <f>PIB_ACTIVIDADES[[#This Row],[PIB]]/PIB_ACTIVIDADES[[#This Row],[PIB TOTAL]]</f>
        <v>1.8370816201238069E-2</v>
      </c>
    </row>
    <row r="387" spans="1:8" hidden="1" x14ac:dyDescent="0.3">
      <c r="A387" t="s">
        <v>147</v>
      </c>
      <c r="B387" t="s">
        <v>148</v>
      </c>
      <c r="C387" t="s">
        <v>95</v>
      </c>
      <c r="D387" t="s">
        <v>104</v>
      </c>
      <c r="E387" t="s">
        <v>54</v>
      </c>
      <c r="F387">
        <v>28278.488000000001</v>
      </c>
      <c r="G387">
        <v>1666974.7009999999</v>
      </c>
      <c r="H387" s="10">
        <f>PIB_ACTIVIDADES[[#This Row],[PIB]]/PIB_ACTIVIDADES[[#This Row],[PIB TOTAL]]</f>
        <v>1.6963957511194408E-2</v>
      </c>
    </row>
    <row r="388" spans="1:8" hidden="1" x14ac:dyDescent="0.3">
      <c r="A388" t="s">
        <v>147</v>
      </c>
      <c r="B388" t="s">
        <v>148</v>
      </c>
      <c r="C388" t="s">
        <v>95</v>
      </c>
      <c r="D388" t="s">
        <v>104</v>
      </c>
      <c r="E388" t="s">
        <v>55</v>
      </c>
      <c r="F388">
        <v>30066.066999999999</v>
      </c>
      <c r="G388">
        <v>1728163.9920000001</v>
      </c>
      <c r="H388" s="10">
        <f>PIB_ACTIVIDADES[[#This Row],[PIB]]/PIB_ACTIVIDADES[[#This Row],[PIB TOTAL]]</f>
        <v>1.7397693239288369E-2</v>
      </c>
    </row>
    <row r="389" spans="1:8" hidden="1" x14ac:dyDescent="0.3">
      <c r="A389" t="s">
        <v>147</v>
      </c>
      <c r="B389" t="s">
        <v>148</v>
      </c>
      <c r="C389" t="s">
        <v>95</v>
      </c>
      <c r="D389" t="s">
        <v>104</v>
      </c>
      <c r="E389" t="s">
        <v>56</v>
      </c>
      <c r="F389">
        <v>29448.798999999999</v>
      </c>
      <c r="G389">
        <v>1743960.8829999999</v>
      </c>
      <c r="H389" s="10">
        <f>PIB_ACTIVIDADES[[#This Row],[PIB]]/PIB_ACTIVIDADES[[#This Row],[PIB TOTAL]]</f>
        <v>1.6886157990735163E-2</v>
      </c>
    </row>
    <row r="390" spans="1:8" hidden="1" x14ac:dyDescent="0.3">
      <c r="A390" t="s">
        <v>147</v>
      </c>
      <c r="B390" t="s">
        <v>148</v>
      </c>
      <c r="C390" t="s">
        <v>95</v>
      </c>
      <c r="D390" t="s">
        <v>104</v>
      </c>
      <c r="E390" t="s">
        <v>57</v>
      </c>
      <c r="F390">
        <v>30433.441999999999</v>
      </c>
      <c r="G390">
        <v>1809343.5560000001</v>
      </c>
      <c r="H390" s="10">
        <f>PIB_ACTIVIDADES[[#This Row],[PIB]]/PIB_ACTIVIDADES[[#This Row],[PIB TOTAL]]</f>
        <v>1.6820156624804093E-2</v>
      </c>
    </row>
    <row r="391" spans="1:8" hidden="1" x14ac:dyDescent="0.3">
      <c r="A391" t="s">
        <v>147</v>
      </c>
      <c r="B391" t="s">
        <v>148</v>
      </c>
      <c r="C391" t="s">
        <v>95</v>
      </c>
      <c r="D391" t="s">
        <v>104</v>
      </c>
      <c r="E391" t="s">
        <v>58</v>
      </c>
      <c r="F391">
        <v>27709.935000000001</v>
      </c>
      <c r="G391">
        <v>1909026.4350000001</v>
      </c>
      <c r="H391" s="10">
        <f>PIB_ACTIVIDADES[[#This Row],[PIB]]/PIB_ACTIVIDADES[[#This Row],[PIB TOTAL]]</f>
        <v>1.4515218067161025E-2</v>
      </c>
    </row>
    <row r="392" spans="1:8" hidden="1" x14ac:dyDescent="0.3">
      <c r="A392" t="s">
        <v>147</v>
      </c>
      <c r="B392" t="s">
        <v>148</v>
      </c>
      <c r="C392" t="s">
        <v>95</v>
      </c>
      <c r="D392" t="s">
        <v>104</v>
      </c>
      <c r="E392" t="s">
        <v>59</v>
      </c>
      <c r="F392">
        <v>27143.566999999999</v>
      </c>
      <c r="G392">
        <v>1918825.0060000001</v>
      </c>
      <c r="H392" s="10">
        <f>PIB_ACTIVIDADES[[#This Row],[PIB]]/PIB_ACTIVIDADES[[#This Row],[PIB TOTAL]]</f>
        <v>1.4145931450301309E-2</v>
      </c>
    </row>
    <row r="393" spans="1:8" hidden="1" x14ac:dyDescent="0.3">
      <c r="A393" t="s">
        <v>147</v>
      </c>
      <c r="B393" t="s">
        <v>148</v>
      </c>
      <c r="C393" t="s">
        <v>95</v>
      </c>
      <c r="D393" t="s">
        <v>104</v>
      </c>
      <c r="E393" t="s">
        <v>60</v>
      </c>
      <c r="F393">
        <v>16684.150000000001</v>
      </c>
      <c r="G393">
        <v>1743165.6229999999</v>
      </c>
      <c r="H393" s="10">
        <f>PIB_ACTIVIDADES[[#This Row],[PIB]]/PIB_ACTIVIDADES[[#This Row],[PIB TOTAL]]</f>
        <v>9.5711788827538176E-3</v>
      </c>
    </row>
    <row r="394" spans="1:8" hidden="1" x14ac:dyDescent="0.3">
      <c r="A394" t="s">
        <v>147</v>
      </c>
      <c r="B394" t="s">
        <v>148</v>
      </c>
      <c r="C394" t="s">
        <v>95</v>
      </c>
      <c r="D394" t="s">
        <v>104</v>
      </c>
      <c r="E394" t="s">
        <v>61</v>
      </c>
      <c r="F394">
        <v>22371.071</v>
      </c>
      <c r="G394">
        <v>1865875.274</v>
      </c>
      <c r="H394" s="10">
        <f>PIB_ACTIVIDADES[[#This Row],[PIB]]/PIB_ACTIVIDADES[[#This Row],[PIB TOTAL]]</f>
        <v>1.1989585430349618E-2</v>
      </c>
    </row>
    <row r="395" spans="1:8" hidden="1" x14ac:dyDescent="0.3">
      <c r="A395" t="s">
        <v>147</v>
      </c>
      <c r="B395" t="s">
        <v>148</v>
      </c>
      <c r="C395" t="s">
        <v>95</v>
      </c>
      <c r="D395" t="s">
        <v>104</v>
      </c>
      <c r="E395" t="s">
        <v>62</v>
      </c>
      <c r="F395">
        <v>23122.895</v>
      </c>
      <c r="G395">
        <v>1928658.429</v>
      </c>
      <c r="H395" s="10">
        <f>PIB_ACTIVIDADES[[#This Row],[PIB]]/PIB_ACTIVIDADES[[#This Row],[PIB TOTAL]]</f>
        <v>1.19891084145932E-2</v>
      </c>
    </row>
    <row r="396" spans="1:8" hidden="1" x14ac:dyDescent="0.3">
      <c r="A396" t="s">
        <v>147</v>
      </c>
      <c r="B396" t="s">
        <v>148</v>
      </c>
      <c r="C396" t="s">
        <v>95</v>
      </c>
      <c r="D396" t="s">
        <v>104</v>
      </c>
      <c r="E396" t="s">
        <v>63</v>
      </c>
      <c r="F396">
        <v>20451.239000000001</v>
      </c>
      <c r="G396">
        <v>1991519.7</v>
      </c>
      <c r="H396" s="10">
        <f>PIB_ACTIVIDADES[[#This Row],[PIB]]/PIB_ACTIVIDADES[[#This Row],[PIB TOTAL]]</f>
        <v>1.0269162288477489E-2</v>
      </c>
    </row>
    <row r="397" spans="1:8" hidden="1" x14ac:dyDescent="0.3">
      <c r="A397" t="s">
        <v>147</v>
      </c>
      <c r="B397" t="s">
        <v>148</v>
      </c>
      <c r="C397" t="s">
        <v>95</v>
      </c>
      <c r="D397" t="s">
        <v>104</v>
      </c>
      <c r="E397" t="s">
        <v>64</v>
      </c>
      <c r="F397">
        <v>24201.816999999999</v>
      </c>
      <c r="G397">
        <v>2059995.5649999999</v>
      </c>
      <c r="H397" s="10">
        <f>PIB_ACTIVIDADES[[#This Row],[PIB]]/PIB_ACTIVIDADES[[#This Row],[PIB TOTAL]]</f>
        <v>1.1748480147820125E-2</v>
      </c>
    </row>
    <row r="398" spans="1:8" hidden="1" x14ac:dyDescent="0.3">
      <c r="A398" t="s">
        <v>149</v>
      </c>
      <c r="B398" t="s">
        <v>150</v>
      </c>
      <c r="C398" t="s">
        <v>95</v>
      </c>
      <c r="D398" t="s">
        <v>104</v>
      </c>
      <c r="E398" t="s">
        <v>43</v>
      </c>
      <c r="F398">
        <v>18717.47</v>
      </c>
      <c r="G398">
        <v>1289662.122</v>
      </c>
      <c r="H398" s="10">
        <f>PIB_ACTIVIDADES[[#This Row],[PIB]]/PIB_ACTIVIDADES[[#This Row],[PIB TOTAL]]</f>
        <v>1.4513468047718628E-2</v>
      </c>
    </row>
    <row r="399" spans="1:8" hidden="1" x14ac:dyDescent="0.3">
      <c r="A399" t="s">
        <v>149</v>
      </c>
      <c r="B399" t="s">
        <v>150</v>
      </c>
      <c r="C399" t="s">
        <v>95</v>
      </c>
      <c r="D399" t="s">
        <v>104</v>
      </c>
      <c r="E399" t="s">
        <v>44</v>
      </c>
      <c r="F399">
        <v>19222.516</v>
      </c>
      <c r="G399">
        <v>1335507.8389999999</v>
      </c>
      <c r="H399" s="10">
        <f>PIB_ACTIVIDADES[[#This Row],[PIB]]/PIB_ACTIVIDADES[[#This Row],[PIB TOTAL]]</f>
        <v>1.4393413081269081E-2</v>
      </c>
    </row>
    <row r="400" spans="1:8" hidden="1" x14ac:dyDescent="0.3">
      <c r="A400" t="s">
        <v>149</v>
      </c>
      <c r="B400" t="s">
        <v>150</v>
      </c>
      <c r="C400" t="s">
        <v>95</v>
      </c>
      <c r="D400" t="s">
        <v>104</v>
      </c>
      <c r="E400" t="s">
        <v>45</v>
      </c>
      <c r="F400">
        <v>20065.737000000001</v>
      </c>
      <c r="G400">
        <v>1368861.9909999999</v>
      </c>
      <c r="H400" s="10">
        <f>PIB_ACTIVIDADES[[#This Row],[PIB]]/PIB_ACTIVIDADES[[#This Row],[PIB TOTAL]]</f>
        <v>1.4658699804602875E-2</v>
      </c>
    </row>
    <row r="401" spans="1:8" hidden="1" x14ac:dyDescent="0.3">
      <c r="A401" t="s">
        <v>149</v>
      </c>
      <c r="B401" t="s">
        <v>150</v>
      </c>
      <c r="C401" t="s">
        <v>95</v>
      </c>
      <c r="D401" t="s">
        <v>104</v>
      </c>
      <c r="E401" t="s">
        <v>46</v>
      </c>
      <c r="F401">
        <v>20878.046999999999</v>
      </c>
      <c r="G401">
        <v>1469583.898</v>
      </c>
      <c r="H401" s="10">
        <f>PIB_ACTIVIDADES[[#This Row],[PIB]]/PIB_ACTIVIDADES[[#This Row],[PIB TOTAL]]</f>
        <v>1.4206774467530263E-2</v>
      </c>
    </row>
    <row r="402" spans="1:8" hidden="1" x14ac:dyDescent="0.3">
      <c r="A402" t="s">
        <v>149</v>
      </c>
      <c r="B402" t="s">
        <v>150</v>
      </c>
      <c r="C402" t="s">
        <v>95</v>
      </c>
      <c r="D402" t="s">
        <v>104</v>
      </c>
      <c r="E402" t="s">
        <v>47</v>
      </c>
      <c r="F402">
        <v>21577.976999999999</v>
      </c>
      <c r="G402">
        <v>1532409.5149999999</v>
      </c>
      <c r="H402" s="10">
        <f>PIB_ACTIVIDADES[[#This Row],[PIB]]/PIB_ACTIVIDADES[[#This Row],[PIB TOTAL]]</f>
        <v>1.4081077407040246E-2</v>
      </c>
    </row>
    <row r="403" spans="1:8" hidden="1" x14ac:dyDescent="0.3">
      <c r="A403" t="s">
        <v>149</v>
      </c>
      <c r="B403" t="s">
        <v>150</v>
      </c>
      <c r="C403" t="s">
        <v>95</v>
      </c>
      <c r="D403" t="s">
        <v>104</v>
      </c>
      <c r="E403" t="s">
        <v>48</v>
      </c>
      <c r="F403">
        <v>21523.4</v>
      </c>
      <c r="G403">
        <v>1531655.04</v>
      </c>
      <c r="H403" s="10">
        <f>PIB_ACTIVIDADES[[#This Row],[PIB]]/PIB_ACTIVIDADES[[#This Row],[PIB TOTAL]]</f>
        <v>1.4052380880749754E-2</v>
      </c>
    </row>
    <row r="404" spans="1:8" hidden="1" x14ac:dyDescent="0.3">
      <c r="A404" t="s">
        <v>149</v>
      </c>
      <c r="B404" t="s">
        <v>150</v>
      </c>
      <c r="C404" t="s">
        <v>95</v>
      </c>
      <c r="D404" t="s">
        <v>104</v>
      </c>
      <c r="E404" t="s">
        <v>49</v>
      </c>
      <c r="F404">
        <v>21224.888999999999</v>
      </c>
      <c r="G404">
        <v>1411038.652</v>
      </c>
      <c r="H404" s="10">
        <f>PIB_ACTIVIDADES[[#This Row],[PIB]]/PIB_ACTIVIDADES[[#This Row],[PIB TOTAL]]</f>
        <v>1.5042032314221821E-2</v>
      </c>
    </row>
    <row r="405" spans="1:8" hidden="1" x14ac:dyDescent="0.3">
      <c r="A405" t="s">
        <v>149</v>
      </c>
      <c r="B405" t="s">
        <v>150</v>
      </c>
      <c r="C405" t="s">
        <v>95</v>
      </c>
      <c r="D405" t="s">
        <v>104</v>
      </c>
      <c r="E405" t="s">
        <v>50</v>
      </c>
      <c r="F405">
        <v>21641.631000000001</v>
      </c>
      <c r="G405">
        <v>1509564.2709999999</v>
      </c>
      <c r="H405" s="10">
        <f>PIB_ACTIVIDADES[[#This Row],[PIB]]/PIB_ACTIVIDADES[[#This Row],[PIB TOTAL]]</f>
        <v>1.4336342887649069E-2</v>
      </c>
    </row>
    <row r="406" spans="1:8" hidden="1" x14ac:dyDescent="0.3">
      <c r="A406" t="s">
        <v>149</v>
      </c>
      <c r="B406" t="s">
        <v>150</v>
      </c>
      <c r="C406" t="s">
        <v>95</v>
      </c>
      <c r="D406" t="s">
        <v>104</v>
      </c>
      <c r="E406" t="s">
        <v>51</v>
      </c>
      <c r="F406">
        <v>22790.257000000001</v>
      </c>
      <c r="G406">
        <v>1558834.9950000001</v>
      </c>
      <c r="H406" s="10">
        <f>PIB_ACTIVIDADES[[#This Row],[PIB]]/PIB_ACTIVIDADES[[#This Row],[PIB TOTAL]]</f>
        <v>1.462005733326509E-2</v>
      </c>
    </row>
    <row r="407" spans="1:8" hidden="1" x14ac:dyDescent="0.3">
      <c r="A407" t="s">
        <v>149</v>
      </c>
      <c r="B407" t="s">
        <v>150</v>
      </c>
      <c r="C407" t="s">
        <v>95</v>
      </c>
      <c r="D407" t="s">
        <v>104</v>
      </c>
      <c r="E407" t="s">
        <v>52</v>
      </c>
      <c r="F407">
        <v>23258.361000000001</v>
      </c>
      <c r="G407">
        <v>1621930.2709999999</v>
      </c>
      <c r="H407" s="10">
        <f>PIB_ACTIVIDADES[[#This Row],[PIB]]/PIB_ACTIVIDADES[[#This Row],[PIB TOTAL]]</f>
        <v>1.433992657752178E-2</v>
      </c>
    </row>
    <row r="408" spans="1:8" hidden="1" x14ac:dyDescent="0.3">
      <c r="A408" t="s">
        <v>149</v>
      </c>
      <c r="B408" t="s">
        <v>150</v>
      </c>
      <c r="C408" t="s">
        <v>95</v>
      </c>
      <c r="D408" t="s">
        <v>104</v>
      </c>
      <c r="E408" t="s">
        <v>53</v>
      </c>
      <c r="F408">
        <v>23367.155999999999</v>
      </c>
      <c r="G408">
        <v>1611568.7879999999</v>
      </c>
      <c r="H408" s="10">
        <f>PIB_ACTIVIDADES[[#This Row],[PIB]]/PIB_ACTIVIDADES[[#This Row],[PIB TOTAL]]</f>
        <v>1.4499633012252159E-2</v>
      </c>
    </row>
    <row r="409" spans="1:8" hidden="1" x14ac:dyDescent="0.3">
      <c r="A409" t="s">
        <v>149</v>
      </c>
      <c r="B409" t="s">
        <v>150</v>
      </c>
      <c r="C409" t="s">
        <v>95</v>
      </c>
      <c r="D409" t="s">
        <v>104</v>
      </c>
      <c r="E409" t="s">
        <v>54</v>
      </c>
      <c r="F409">
        <v>22271.748</v>
      </c>
      <c r="G409">
        <v>1666974.7009999999</v>
      </c>
      <c r="H409" s="10">
        <f>PIB_ACTIVIDADES[[#This Row],[PIB]]/PIB_ACTIVIDADES[[#This Row],[PIB TOTAL]]</f>
        <v>1.336057948968237E-2</v>
      </c>
    </row>
    <row r="410" spans="1:8" hidden="1" x14ac:dyDescent="0.3">
      <c r="A410" t="s">
        <v>149</v>
      </c>
      <c r="B410" t="s">
        <v>150</v>
      </c>
      <c r="C410" t="s">
        <v>95</v>
      </c>
      <c r="D410" t="s">
        <v>104</v>
      </c>
      <c r="E410" t="s">
        <v>55</v>
      </c>
      <c r="F410">
        <v>23432.737000000001</v>
      </c>
      <c r="G410">
        <v>1728163.9920000001</v>
      </c>
      <c r="H410" s="10">
        <f>PIB_ACTIVIDADES[[#This Row],[PIB]]/PIB_ACTIVIDADES[[#This Row],[PIB TOTAL]]</f>
        <v>1.355932487221965E-2</v>
      </c>
    </row>
    <row r="411" spans="1:8" hidden="1" x14ac:dyDescent="0.3">
      <c r="A411" t="s">
        <v>149</v>
      </c>
      <c r="B411" t="s">
        <v>150</v>
      </c>
      <c r="C411" t="s">
        <v>95</v>
      </c>
      <c r="D411" t="s">
        <v>104</v>
      </c>
      <c r="E411" t="s">
        <v>56</v>
      </c>
      <c r="F411">
        <v>24204.210999999999</v>
      </c>
      <c r="G411">
        <v>1743960.8829999999</v>
      </c>
      <c r="H411" s="10">
        <f>PIB_ACTIVIDADES[[#This Row],[PIB]]/PIB_ACTIVIDADES[[#This Row],[PIB TOTAL]]</f>
        <v>1.3878872649003103E-2</v>
      </c>
    </row>
    <row r="412" spans="1:8" hidden="1" x14ac:dyDescent="0.3">
      <c r="A412" t="s">
        <v>149</v>
      </c>
      <c r="B412" t="s">
        <v>150</v>
      </c>
      <c r="C412" t="s">
        <v>95</v>
      </c>
      <c r="D412" t="s">
        <v>104</v>
      </c>
      <c r="E412" t="s">
        <v>57</v>
      </c>
      <c r="F412">
        <v>23851.954000000002</v>
      </c>
      <c r="G412">
        <v>1809343.5560000001</v>
      </c>
      <c r="H412" s="10">
        <f>PIB_ACTIVIDADES[[#This Row],[PIB]]/PIB_ACTIVIDADES[[#This Row],[PIB TOTAL]]</f>
        <v>1.3182656174336855E-2</v>
      </c>
    </row>
    <row r="413" spans="1:8" hidden="1" x14ac:dyDescent="0.3">
      <c r="A413" t="s">
        <v>149</v>
      </c>
      <c r="B413" t="s">
        <v>150</v>
      </c>
      <c r="C413" t="s">
        <v>95</v>
      </c>
      <c r="D413" t="s">
        <v>104</v>
      </c>
      <c r="E413" t="s">
        <v>58</v>
      </c>
      <c r="F413">
        <v>24699.546999999999</v>
      </c>
      <c r="G413">
        <v>1909026.4350000001</v>
      </c>
      <c r="H413" s="10">
        <f>PIB_ACTIVIDADES[[#This Row],[PIB]]/PIB_ACTIVIDADES[[#This Row],[PIB TOTAL]]</f>
        <v>1.2938294906324855E-2</v>
      </c>
    </row>
    <row r="414" spans="1:8" hidden="1" x14ac:dyDescent="0.3">
      <c r="A414" t="s">
        <v>149</v>
      </c>
      <c r="B414" t="s">
        <v>150</v>
      </c>
      <c r="C414" t="s">
        <v>95</v>
      </c>
      <c r="D414" t="s">
        <v>104</v>
      </c>
      <c r="E414" t="s">
        <v>59</v>
      </c>
      <c r="F414">
        <v>24964.768</v>
      </c>
      <c r="G414">
        <v>1918825.0060000001</v>
      </c>
      <c r="H414" s="10">
        <f>PIB_ACTIVIDADES[[#This Row],[PIB]]/PIB_ACTIVIDADES[[#This Row],[PIB TOTAL]]</f>
        <v>1.3010445414218247E-2</v>
      </c>
    </row>
    <row r="415" spans="1:8" hidden="1" x14ac:dyDescent="0.3">
      <c r="A415" t="s">
        <v>149</v>
      </c>
      <c r="B415" t="s">
        <v>150</v>
      </c>
      <c r="C415" t="s">
        <v>95</v>
      </c>
      <c r="D415" t="s">
        <v>104</v>
      </c>
      <c r="E415" t="s">
        <v>60</v>
      </c>
      <c r="F415">
        <v>20861.325000000001</v>
      </c>
      <c r="G415">
        <v>1743165.6229999999</v>
      </c>
      <c r="H415" s="10">
        <f>PIB_ACTIVIDADES[[#This Row],[PIB]]/PIB_ACTIVIDADES[[#This Row],[PIB TOTAL]]</f>
        <v>1.1967494496648872E-2</v>
      </c>
    </row>
    <row r="416" spans="1:8" hidden="1" x14ac:dyDescent="0.3">
      <c r="A416" t="s">
        <v>149</v>
      </c>
      <c r="B416" t="s">
        <v>150</v>
      </c>
      <c r="C416" t="s">
        <v>95</v>
      </c>
      <c r="D416" t="s">
        <v>104</v>
      </c>
      <c r="E416" t="s">
        <v>61</v>
      </c>
      <c r="F416">
        <v>22809.191999999999</v>
      </c>
      <c r="G416">
        <v>1865875.274</v>
      </c>
      <c r="H416" s="10">
        <f>PIB_ACTIVIDADES[[#This Row],[PIB]]/PIB_ACTIVIDADES[[#This Row],[PIB TOTAL]]</f>
        <v>1.2224392657877088E-2</v>
      </c>
    </row>
    <row r="417" spans="1:8" hidden="1" x14ac:dyDescent="0.3">
      <c r="A417" t="s">
        <v>149</v>
      </c>
      <c r="B417" t="s">
        <v>150</v>
      </c>
      <c r="C417" t="s">
        <v>95</v>
      </c>
      <c r="D417" t="s">
        <v>104</v>
      </c>
      <c r="E417" t="s">
        <v>62</v>
      </c>
      <c r="F417">
        <v>23792.363000000001</v>
      </c>
      <c r="G417">
        <v>1928658.429</v>
      </c>
      <c r="H417" s="10">
        <f>PIB_ACTIVIDADES[[#This Row],[PIB]]/PIB_ACTIVIDADES[[#This Row],[PIB TOTAL]]</f>
        <v>1.2336224311287834E-2</v>
      </c>
    </row>
    <row r="418" spans="1:8" hidden="1" x14ac:dyDescent="0.3">
      <c r="A418" t="s">
        <v>149</v>
      </c>
      <c r="B418" t="s">
        <v>150</v>
      </c>
      <c r="C418" t="s">
        <v>95</v>
      </c>
      <c r="D418" t="s">
        <v>104</v>
      </c>
      <c r="E418" t="s">
        <v>63</v>
      </c>
      <c r="F418">
        <v>23529.251</v>
      </c>
      <c r="G418">
        <v>1991519.7</v>
      </c>
      <c r="H418" s="10">
        <f>PIB_ACTIVIDADES[[#This Row],[PIB]]/PIB_ACTIVIDADES[[#This Row],[PIB TOTAL]]</f>
        <v>1.1814721692183111E-2</v>
      </c>
    </row>
    <row r="419" spans="1:8" hidden="1" x14ac:dyDescent="0.3">
      <c r="A419" t="s">
        <v>149</v>
      </c>
      <c r="B419" t="s">
        <v>150</v>
      </c>
      <c r="C419" t="s">
        <v>95</v>
      </c>
      <c r="D419" t="s">
        <v>104</v>
      </c>
      <c r="E419" t="s">
        <v>64</v>
      </c>
      <c r="F419">
        <v>24880.013999999999</v>
      </c>
      <c r="G419">
        <v>2059995.5649999999</v>
      </c>
      <c r="H419" s="10">
        <f>PIB_ACTIVIDADES[[#This Row],[PIB]]/PIB_ACTIVIDADES[[#This Row],[PIB TOTAL]]</f>
        <v>1.2077702701267708E-2</v>
      </c>
    </row>
    <row r="420" spans="1:8" hidden="1" x14ac:dyDescent="0.3">
      <c r="A420" t="s">
        <v>151</v>
      </c>
      <c r="B420" t="s">
        <v>152</v>
      </c>
      <c r="C420" t="s">
        <v>95</v>
      </c>
      <c r="D420" t="s">
        <v>103</v>
      </c>
      <c r="E420" t="s">
        <v>43</v>
      </c>
      <c r="F420">
        <v>23118.771000000001</v>
      </c>
      <c r="G420">
        <v>1289662.122</v>
      </c>
      <c r="H420" s="10">
        <f>PIB_ACTIVIDADES[[#This Row],[PIB]]/PIB_ACTIVIDADES[[#This Row],[PIB TOTAL]]</f>
        <v>1.7926223160022375E-2</v>
      </c>
    </row>
    <row r="421" spans="1:8" hidden="1" x14ac:dyDescent="0.3">
      <c r="A421" t="s">
        <v>151</v>
      </c>
      <c r="B421" t="s">
        <v>152</v>
      </c>
      <c r="C421" t="s">
        <v>95</v>
      </c>
      <c r="D421" t="s">
        <v>103</v>
      </c>
      <c r="E421" t="s">
        <v>44</v>
      </c>
      <c r="F421">
        <v>23528.913</v>
      </c>
      <c r="G421">
        <v>1335507.8389999999</v>
      </c>
      <c r="H421" s="10">
        <f>PIB_ACTIVIDADES[[#This Row],[PIB]]/PIB_ACTIVIDADES[[#This Row],[PIB TOTAL]]</f>
        <v>1.7617951997659521E-2</v>
      </c>
    </row>
    <row r="422" spans="1:8" hidden="1" x14ac:dyDescent="0.3">
      <c r="A422" t="s">
        <v>151</v>
      </c>
      <c r="B422" t="s">
        <v>152</v>
      </c>
      <c r="C422" t="s">
        <v>95</v>
      </c>
      <c r="D422" t="s">
        <v>103</v>
      </c>
      <c r="E422" t="s">
        <v>45</v>
      </c>
      <c r="F422">
        <v>24204.421999999999</v>
      </c>
      <c r="G422">
        <v>1368861.9909999999</v>
      </c>
      <c r="H422" s="10">
        <f>PIB_ACTIVIDADES[[#This Row],[PIB]]/PIB_ACTIVIDADES[[#This Row],[PIB TOTAL]]</f>
        <v>1.7682149229899979E-2</v>
      </c>
    </row>
    <row r="423" spans="1:8" hidden="1" x14ac:dyDescent="0.3">
      <c r="A423" t="s">
        <v>151</v>
      </c>
      <c r="B423" t="s">
        <v>152</v>
      </c>
      <c r="C423" t="s">
        <v>95</v>
      </c>
      <c r="D423" t="s">
        <v>103</v>
      </c>
      <c r="E423" t="s">
        <v>46</v>
      </c>
      <c r="F423">
        <v>24115.731</v>
      </c>
      <c r="G423">
        <v>1469583.898</v>
      </c>
      <c r="H423" s="10">
        <f>PIB_ACTIVIDADES[[#This Row],[PIB]]/PIB_ACTIVIDADES[[#This Row],[PIB TOTAL]]</f>
        <v>1.6409904213580326E-2</v>
      </c>
    </row>
    <row r="424" spans="1:8" hidden="1" x14ac:dyDescent="0.3">
      <c r="A424" t="s">
        <v>151</v>
      </c>
      <c r="B424" t="s">
        <v>152</v>
      </c>
      <c r="C424" t="s">
        <v>95</v>
      </c>
      <c r="D424" t="s">
        <v>103</v>
      </c>
      <c r="E424" t="s">
        <v>47</v>
      </c>
      <c r="F424">
        <v>23909.41</v>
      </c>
      <c r="G424">
        <v>1532409.5149999999</v>
      </c>
      <c r="H424" s="10">
        <f>PIB_ACTIVIDADES[[#This Row],[PIB]]/PIB_ACTIVIDADES[[#This Row],[PIB TOTAL]]</f>
        <v>1.5602493828159245E-2</v>
      </c>
    </row>
    <row r="425" spans="1:8" hidden="1" x14ac:dyDescent="0.3">
      <c r="A425" t="s">
        <v>151</v>
      </c>
      <c r="B425" t="s">
        <v>152</v>
      </c>
      <c r="C425" t="s">
        <v>95</v>
      </c>
      <c r="D425" t="s">
        <v>103</v>
      </c>
      <c r="E425" t="s">
        <v>48</v>
      </c>
      <c r="F425">
        <v>25563.024000000001</v>
      </c>
      <c r="G425">
        <v>1531655.04</v>
      </c>
      <c r="H425" s="10">
        <f>PIB_ACTIVIDADES[[#This Row],[PIB]]/PIB_ACTIVIDADES[[#This Row],[PIB TOTAL]]</f>
        <v>1.6689805035995573E-2</v>
      </c>
    </row>
    <row r="426" spans="1:8" hidden="1" x14ac:dyDescent="0.3">
      <c r="A426" t="s">
        <v>151</v>
      </c>
      <c r="B426" t="s">
        <v>152</v>
      </c>
      <c r="C426" t="s">
        <v>95</v>
      </c>
      <c r="D426" t="s">
        <v>103</v>
      </c>
      <c r="E426" t="s">
        <v>49</v>
      </c>
      <c r="F426">
        <v>26356.701000000001</v>
      </c>
      <c r="G426">
        <v>1411038.652</v>
      </c>
      <c r="H426" s="10">
        <f>PIB_ACTIVIDADES[[#This Row],[PIB]]/PIB_ACTIVIDADES[[#This Row],[PIB TOTAL]]</f>
        <v>1.8678936230869459E-2</v>
      </c>
    </row>
    <row r="427" spans="1:8" hidden="1" x14ac:dyDescent="0.3">
      <c r="A427" t="s">
        <v>151</v>
      </c>
      <c r="B427" t="s">
        <v>152</v>
      </c>
      <c r="C427" t="s">
        <v>95</v>
      </c>
      <c r="D427" t="s">
        <v>103</v>
      </c>
      <c r="E427" t="s">
        <v>50</v>
      </c>
      <c r="F427">
        <v>27786.932000000001</v>
      </c>
      <c r="G427">
        <v>1509564.2709999999</v>
      </c>
      <c r="H427" s="10">
        <f>PIB_ACTIVIDADES[[#This Row],[PIB]]/PIB_ACTIVIDADES[[#This Row],[PIB TOTAL]]</f>
        <v>1.8407253360330757E-2</v>
      </c>
    </row>
    <row r="428" spans="1:8" hidden="1" x14ac:dyDescent="0.3">
      <c r="A428" t="s">
        <v>151</v>
      </c>
      <c r="B428" t="s">
        <v>152</v>
      </c>
      <c r="C428" t="s">
        <v>95</v>
      </c>
      <c r="D428" t="s">
        <v>103</v>
      </c>
      <c r="E428" t="s">
        <v>51</v>
      </c>
      <c r="F428">
        <v>29044.825000000001</v>
      </c>
      <c r="G428">
        <v>1558834.9950000001</v>
      </c>
      <c r="H428" s="10">
        <f>PIB_ACTIVIDADES[[#This Row],[PIB]]/PIB_ACTIVIDADES[[#This Row],[PIB TOTAL]]</f>
        <v>1.8632392198765078E-2</v>
      </c>
    </row>
    <row r="429" spans="1:8" hidden="1" x14ac:dyDescent="0.3">
      <c r="A429" t="s">
        <v>151</v>
      </c>
      <c r="B429" t="s">
        <v>152</v>
      </c>
      <c r="C429" t="s">
        <v>95</v>
      </c>
      <c r="D429" t="s">
        <v>103</v>
      </c>
      <c r="E429" t="s">
        <v>52</v>
      </c>
      <c r="F429">
        <v>31056.012999999999</v>
      </c>
      <c r="G429">
        <v>1621930.2709999999</v>
      </c>
      <c r="H429" s="10">
        <f>PIB_ACTIVIDADES[[#This Row],[PIB]]/PIB_ACTIVIDADES[[#This Row],[PIB TOTAL]]</f>
        <v>1.9147563588447263E-2</v>
      </c>
    </row>
    <row r="430" spans="1:8" hidden="1" x14ac:dyDescent="0.3">
      <c r="A430" t="s">
        <v>151</v>
      </c>
      <c r="B430" t="s">
        <v>152</v>
      </c>
      <c r="C430" t="s">
        <v>95</v>
      </c>
      <c r="D430" t="s">
        <v>103</v>
      </c>
      <c r="E430" t="s">
        <v>53</v>
      </c>
      <c r="F430">
        <v>30952.929</v>
      </c>
      <c r="G430">
        <v>1611568.7879999999</v>
      </c>
      <c r="H430" s="10">
        <f>PIB_ACTIVIDADES[[#This Row],[PIB]]/PIB_ACTIVIDADES[[#This Row],[PIB TOTAL]]</f>
        <v>1.9206706676426398E-2</v>
      </c>
    </row>
    <row r="431" spans="1:8" hidden="1" x14ac:dyDescent="0.3">
      <c r="A431" t="s">
        <v>151</v>
      </c>
      <c r="B431" t="s">
        <v>152</v>
      </c>
      <c r="C431" t="s">
        <v>95</v>
      </c>
      <c r="D431" t="s">
        <v>103</v>
      </c>
      <c r="E431" t="s">
        <v>54</v>
      </c>
      <c r="F431">
        <v>31432.469000000001</v>
      </c>
      <c r="G431">
        <v>1666974.7009999999</v>
      </c>
      <c r="H431" s="10">
        <f>PIB_ACTIVIDADES[[#This Row],[PIB]]/PIB_ACTIVIDADES[[#This Row],[PIB TOTAL]]</f>
        <v>1.8855996423427425E-2</v>
      </c>
    </row>
    <row r="432" spans="1:8" hidden="1" x14ac:dyDescent="0.3">
      <c r="A432" t="s">
        <v>151</v>
      </c>
      <c r="B432" t="s">
        <v>152</v>
      </c>
      <c r="C432" t="s">
        <v>95</v>
      </c>
      <c r="D432" t="s">
        <v>103</v>
      </c>
      <c r="E432" t="s">
        <v>55</v>
      </c>
      <c r="F432">
        <v>31139.361000000001</v>
      </c>
      <c r="G432">
        <v>1728163.9920000001</v>
      </c>
      <c r="H432" s="10">
        <f>PIB_ACTIVIDADES[[#This Row],[PIB]]/PIB_ACTIVIDADES[[#This Row],[PIB TOTAL]]</f>
        <v>1.8018753511906294E-2</v>
      </c>
    </row>
    <row r="433" spans="1:8" hidden="1" x14ac:dyDescent="0.3">
      <c r="A433" t="s">
        <v>151</v>
      </c>
      <c r="B433" t="s">
        <v>152</v>
      </c>
      <c r="C433" t="s">
        <v>95</v>
      </c>
      <c r="D433" t="s">
        <v>103</v>
      </c>
      <c r="E433" t="s">
        <v>56</v>
      </c>
      <c r="F433">
        <v>30823.016</v>
      </c>
      <c r="G433">
        <v>1743960.8829999999</v>
      </c>
      <c r="H433" s="10">
        <f>PIB_ACTIVIDADES[[#This Row],[PIB]]/PIB_ACTIVIDADES[[#This Row],[PIB TOTAL]]</f>
        <v>1.7674144128151298E-2</v>
      </c>
    </row>
    <row r="434" spans="1:8" hidden="1" x14ac:dyDescent="0.3">
      <c r="A434" t="s">
        <v>151</v>
      </c>
      <c r="B434" t="s">
        <v>152</v>
      </c>
      <c r="C434" t="s">
        <v>95</v>
      </c>
      <c r="D434" t="s">
        <v>103</v>
      </c>
      <c r="E434" t="s">
        <v>57</v>
      </c>
      <c r="F434">
        <v>31091.510999999999</v>
      </c>
      <c r="G434">
        <v>1809343.5560000001</v>
      </c>
      <c r="H434" s="10">
        <f>PIB_ACTIVIDADES[[#This Row],[PIB]]/PIB_ACTIVIDADES[[#This Row],[PIB TOTAL]]</f>
        <v>1.7183862565457411E-2</v>
      </c>
    </row>
    <row r="435" spans="1:8" hidden="1" x14ac:dyDescent="0.3">
      <c r="A435" t="s">
        <v>151</v>
      </c>
      <c r="B435" t="s">
        <v>152</v>
      </c>
      <c r="C435" t="s">
        <v>95</v>
      </c>
      <c r="D435" t="s">
        <v>103</v>
      </c>
      <c r="E435" t="s">
        <v>58</v>
      </c>
      <c r="F435">
        <v>30590.383000000002</v>
      </c>
      <c r="G435">
        <v>1909026.4350000001</v>
      </c>
      <c r="H435" s="10">
        <f>PIB_ACTIVIDADES[[#This Row],[PIB]]/PIB_ACTIVIDADES[[#This Row],[PIB TOTAL]]</f>
        <v>1.602407511973505E-2</v>
      </c>
    </row>
    <row r="436" spans="1:8" hidden="1" x14ac:dyDescent="0.3">
      <c r="A436" t="s">
        <v>151</v>
      </c>
      <c r="B436" t="s">
        <v>152</v>
      </c>
      <c r="C436" t="s">
        <v>95</v>
      </c>
      <c r="D436" t="s">
        <v>103</v>
      </c>
      <c r="E436" t="s">
        <v>59</v>
      </c>
      <c r="F436">
        <v>32024.281999999999</v>
      </c>
      <c r="G436">
        <v>1918825.0060000001</v>
      </c>
      <c r="H436" s="10">
        <f>PIB_ACTIVIDADES[[#This Row],[PIB]]/PIB_ACTIVIDADES[[#This Row],[PIB TOTAL]]</f>
        <v>1.668952713241845E-2</v>
      </c>
    </row>
    <row r="437" spans="1:8" hidden="1" x14ac:dyDescent="0.3">
      <c r="A437" t="s">
        <v>151</v>
      </c>
      <c r="B437" t="s">
        <v>152</v>
      </c>
      <c r="C437" t="s">
        <v>95</v>
      </c>
      <c r="D437" t="s">
        <v>103</v>
      </c>
      <c r="E437" t="s">
        <v>60</v>
      </c>
      <c r="F437">
        <v>34720.438000000002</v>
      </c>
      <c r="G437">
        <v>1743165.6229999999</v>
      </c>
      <c r="H437" s="10">
        <f>PIB_ACTIVIDADES[[#This Row],[PIB]]/PIB_ACTIVIDADES[[#This Row],[PIB TOTAL]]</f>
        <v>1.9918037357945305E-2</v>
      </c>
    </row>
    <row r="438" spans="1:8" hidden="1" x14ac:dyDescent="0.3">
      <c r="A438" t="s">
        <v>151</v>
      </c>
      <c r="B438" t="s">
        <v>152</v>
      </c>
      <c r="C438" t="s">
        <v>95</v>
      </c>
      <c r="D438" t="s">
        <v>103</v>
      </c>
      <c r="E438" t="s">
        <v>61</v>
      </c>
      <c r="F438">
        <v>32688.416000000001</v>
      </c>
      <c r="G438">
        <v>1865875.274</v>
      </c>
      <c r="H438" s="10">
        <f>PIB_ACTIVIDADES[[#This Row],[PIB]]/PIB_ACTIVIDADES[[#This Row],[PIB TOTAL]]</f>
        <v>1.7519078823486248E-2</v>
      </c>
    </row>
    <row r="439" spans="1:8" hidden="1" x14ac:dyDescent="0.3">
      <c r="A439" t="s">
        <v>151</v>
      </c>
      <c r="B439" t="s">
        <v>152</v>
      </c>
      <c r="C439" t="s">
        <v>95</v>
      </c>
      <c r="D439" t="s">
        <v>103</v>
      </c>
      <c r="E439" t="s">
        <v>62</v>
      </c>
      <c r="F439">
        <v>33345.985999999997</v>
      </c>
      <c r="G439">
        <v>1928658.429</v>
      </c>
      <c r="H439" s="10">
        <f>PIB_ACTIVIDADES[[#This Row],[PIB]]/PIB_ACTIVIDADES[[#This Row],[PIB TOTAL]]</f>
        <v>1.72897312964275E-2</v>
      </c>
    </row>
    <row r="440" spans="1:8" hidden="1" x14ac:dyDescent="0.3">
      <c r="A440" t="s">
        <v>151</v>
      </c>
      <c r="B440" t="s">
        <v>152</v>
      </c>
      <c r="C440" t="s">
        <v>95</v>
      </c>
      <c r="D440" t="s">
        <v>103</v>
      </c>
      <c r="E440" t="s">
        <v>63</v>
      </c>
      <c r="F440">
        <v>34871.123</v>
      </c>
      <c r="G440">
        <v>1991519.7</v>
      </c>
      <c r="H440" s="10">
        <f>PIB_ACTIVIDADES[[#This Row],[PIB]]/PIB_ACTIVIDADES[[#This Row],[PIB TOTAL]]</f>
        <v>1.7509805702650091E-2</v>
      </c>
    </row>
    <row r="441" spans="1:8" hidden="1" x14ac:dyDescent="0.3">
      <c r="A441" t="s">
        <v>151</v>
      </c>
      <c r="B441" t="s">
        <v>152</v>
      </c>
      <c r="C441" t="s">
        <v>95</v>
      </c>
      <c r="D441" t="s">
        <v>103</v>
      </c>
      <c r="E441" t="s">
        <v>64</v>
      </c>
      <c r="F441">
        <v>34998.828999999998</v>
      </c>
      <c r="G441">
        <v>2059995.5649999999</v>
      </c>
      <c r="H441" s="10">
        <f>PIB_ACTIVIDADES[[#This Row],[PIB]]/PIB_ACTIVIDADES[[#This Row],[PIB TOTAL]]</f>
        <v>1.6989759393001413E-2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F897-6E9D-421E-AE2B-52E36C9C31F0}">
  <dimension ref="A1:B23"/>
  <sheetViews>
    <sheetView tabSelected="1" workbookViewId="0">
      <selection activeCell="I12" sqref="I12"/>
    </sheetView>
  </sheetViews>
  <sheetFormatPr baseColWidth="10" defaultColWidth="11.44140625" defaultRowHeight="14.4" x14ac:dyDescent="0.3"/>
  <cols>
    <col min="1" max="1" width="6.6640625" bestFit="1" customWidth="1"/>
    <col min="2" max="2" width="12" bestFit="1" customWidth="1"/>
  </cols>
  <sheetData>
    <row r="1" spans="1:2" x14ac:dyDescent="0.3">
      <c r="A1" t="s">
        <v>105</v>
      </c>
      <c r="B1" t="s">
        <v>65</v>
      </c>
    </row>
    <row r="2" spans="1:2" x14ac:dyDescent="0.3">
      <c r="A2" t="s">
        <v>43</v>
      </c>
      <c r="B2">
        <v>1289662.122</v>
      </c>
    </row>
    <row r="3" spans="1:2" x14ac:dyDescent="0.3">
      <c r="A3" t="s">
        <v>44</v>
      </c>
      <c r="B3">
        <v>1335507.8389999999</v>
      </c>
    </row>
    <row r="4" spans="1:2" x14ac:dyDescent="0.3">
      <c r="A4" t="s">
        <v>45</v>
      </c>
      <c r="B4">
        <v>1368861.9909999999</v>
      </c>
    </row>
    <row r="5" spans="1:2" x14ac:dyDescent="0.3">
      <c r="A5" t="s">
        <v>46</v>
      </c>
      <c r="B5">
        <v>1469583.898</v>
      </c>
    </row>
    <row r="6" spans="1:2" x14ac:dyDescent="0.3">
      <c r="A6" t="s">
        <v>47</v>
      </c>
      <c r="B6">
        <v>1532409.5149999999</v>
      </c>
    </row>
    <row r="7" spans="1:2" x14ac:dyDescent="0.3">
      <c r="A7" t="s">
        <v>48</v>
      </c>
      <c r="B7">
        <v>1531655.04</v>
      </c>
    </row>
    <row r="8" spans="1:2" x14ac:dyDescent="0.3">
      <c r="A8" t="s">
        <v>49</v>
      </c>
      <c r="B8">
        <v>1411038.652</v>
      </c>
    </row>
    <row r="9" spans="1:2" x14ac:dyDescent="0.3">
      <c r="A9" t="s">
        <v>50</v>
      </c>
      <c r="B9">
        <v>1509564.2709999999</v>
      </c>
    </row>
    <row r="10" spans="1:2" x14ac:dyDescent="0.3">
      <c r="A10" t="s">
        <v>51</v>
      </c>
      <c r="B10">
        <v>1558834.9950000001</v>
      </c>
    </row>
    <row r="11" spans="1:2" x14ac:dyDescent="0.3">
      <c r="A11" t="s">
        <v>52</v>
      </c>
      <c r="B11">
        <v>1621930.2709999999</v>
      </c>
    </row>
    <row r="12" spans="1:2" x14ac:dyDescent="0.3">
      <c r="A12" t="s">
        <v>53</v>
      </c>
      <c r="B12">
        <v>1611568.7879999999</v>
      </c>
    </row>
    <row r="13" spans="1:2" x14ac:dyDescent="0.3">
      <c r="A13" t="s">
        <v>54</v>
      </c>
      <c r="B13">
        <v>1666974.7009999999</v>
      </c>
    </row>
    <row r="14" spans="1:2" x14ac:dyDescent="0.3">
      <c r="A14" t="s">
        <v>55</v>
      </c>
      <c r="B14">
        <v>1728163.9920000001</v>
      </c>
    </row>
    <row r="15" spans="1:2" x14ac:dyDescent="0.3">
      <c r="A15" t="s">
        <v>56</v>
      </c>
      <c r="B15">
        <v>1743960.8829999999</v>
      </c>
    </row>
    <row r="16" spans="1:2" x14ac:dyDescent="0.3">
      <c r="A16" t="s">
        <v>57</v>
      </c>
      <c r="B16">
        <v>1809343.5560000001</v>
      </c>
    </row>
    <row r="17" spans="1:2" x14ac:dyDescent="0.3">
      <c r="A17" t="s">
        <v>58</v>
      </c>
      <c r="B17">
        <v>1909026.4350000001</v>
      </c>
    </row>
    <row r="18" spans="1:2" x14ac:dyDescent="0.3">
      <c r="A18" t="s">
        <v>59</v>
      </c>
      <c r="B18">
        <v>1918825.0060000001</v>
      </c>
    </row>
    <row r="19" spans="1:2" x14ac:dyDescent="0.3">
      <c r="A19" t="s">
        <v>60</v>
      </c>
      <c r="B19">
        <v>1743165.6229999999</v>
      </c>
    </row>
    <row r="20" spans="1:2" x14ac:dyDescent="0.3">
      <c r="A20" t="s">
        <v>61</v>
      </c>
      <c r="B20">
        <v>1865875.274</v>
      </c>
    </row>
    <row r="21" spans="1:2" x14ac:dyDescent="0.3">
      <c r="A21" t="s">
        <v>62</v>
      </c>
      <c r="B21">
        <v>1928658.429</v>
      </c>
    </row>
    <row r="22" spans="1:2" x14ac:dyDescent="0.3">
      <c r="A22" t="s">
        <v>63</v>
      </c>
      <c r="B22">
        <v>1991519.7</v>
      </c>
    </row>
    <row r="23" spans="1:2" x14ac:dyDescent="0.3">
      <c r="A23" t="s">
        <v>64</v>
      </c>
      <c r="B23">
        <v>2059995.5649999999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DC7FEA-1267-4B2A-8414-49EC13EB07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graficas_excel</vt:lpstr>
      <vt:lpstr>base_nl</vt:lpstr>
      <vt:lpstr>base_comp</vt:lpstr>
      <vt:lpstr>pib_niveles_t</vt:lpstr>
      <vt:lpstr>pib_niveles</vt:lpstr>
      <vt:lpstr>td1</vt:lpstr>
      <vt:lpstr>pib_pct</vt:lpstr>
      <vt:lpstr>INGEI_raw_detallada</vt:lpstr>
      <vt:lpstr>td2</vt:lpstr>
      <vt:lpstr>terc_det</vt:lpstr>
      <vt:lpstr>td3</vt:lpstr>
      <vt:lpstr>sec_det</vt:lpstr>
      <vt:lpstr>pib_actividades</vt:lpstr>
      <vt:lpstr>pib_total</vt:lpstr>
      <vt:lpstr>PIB_RAW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2026-10-11T22:23:32Z</dcterms:created>
  <dcterms:modified xsi:type="dcterms:W3CDTF">2026-10-11T22:23:36Z</dcterms:modified>
  <cp:category/>
  <cp:contentStatus/>
</cp:coreProperties>
</file>